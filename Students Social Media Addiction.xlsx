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5.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0.xml" ContentType="application/vnd.openxmlformats-officedocument.drawing+xml"/>
  <Override PartName="/xl/slicers/slicer6.xml" ContentType="application/vnd.ms-excel.slicer+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2.xml" ContentType="application/vnd.openxmlformats-officedocument.drawing+xml"/>
  <Override PartName="/xl/slicers/slicer7.xml" ContentType="application/vnd.ms-excel.slicer+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ersum\Desktop\Data Analysis By Grras\"/>
    </mc:Choice>
  </mc:AlternateContent>
  <xr:revisionPtr revIDLastSave="0" documentId="13_ncr:1_{8C31C1D3-9A30-4E87-BC46-43BB011B1F9A}" xr6:coauthVersionLast="47" xr6:coauthVersionMax="47" xr10:uidLastSave="{00000000-0000-0000-0000-000000000000}"/>
  <bookViews>
    <workbookView xWindow="-98" yWindow="-98" windowWidth="21795" windowHeight="12975" firstSheet="2" activeTab="4" xr2:uid="{7E7D27B1-E00C-4F0C-A79D-0A735AFFF5D6}"/>
  </bookViews>
  <sheets>
    <sheet name="Demographic &amp; Academic Profile" sheetId="2" r:id="rId1"/>
    <sheet name="D &amp; A Dashboard" sheetId="12" r:id="rId2"/>
    <sheet name="Social Media Usage Patterns" sheetId="3" r:id="rId3"/>
    <sheet name="Social Media Usage Dashboard" sheetId="15" r:id="rId4"/>
    <sheet name="Impact on Academic Performance" sheetId="4" r:id="rId5"/>
    <sheet name="Dashboard Impact on Performance" sheetId="16" r:id="rId6"/>
    <sheet name="Sleep &amp; Well-being" sheetId="8" r:id="rId7"/>
    <sheet name="Sleep Score Dashboard" sheetId="17" r:id="rId8"/>
    <sheet name="Mental Health Indicators" sheetId="9" r:id="rId9"/>
    <sheet name="Mental Health Dashboard" sheetId="18" r:id="rId10"/>
    <sheet name="Relationship &amp; Social Conflict" sheetId="22" r:id="rId11"/>
    <sheet name="Social Conflict Dashboard" sheetId="19" r:id="rId12"/>
    <sheet name="Students Social Media Addiction" sheetId="1" r:id="rId13"/>
  </sheets>
  <definedNames>
    <definedName name="_xlnm._FilterDatabase" localSheetId="12" hidden="1">'Students Social Media Addiction'!$A$1:$R$706</definedName>
    <definedName name="Slicer_Academic_Level">#N/A</definedName>
    <definedName name="Slicer_Academic_Level1">#N/A</definedName>
    <definedName name="Slicer_Academic_Level2">#N/A</definedName>
    <definedName name="Slicer_Academic_Level3">#N/A</definedName>
    <definedName name="Slicer_Academic_Level4">#N/A</definedName>
    <definedName name="Slicer_Addivted">#N/A</definedName>
    <definedName name="Slicer_Country">#N/A</definedName>
    <definedName name="Slicer_Gender">#N/A</definedName>
    <definedName name="Slicer_Gender1">#N/A</definedName>
    <definedName name="Slicer_Gender2">#N/A</definedName>
    <definedName name="Slicer_Gender3">#N/A</definedName>
    <definedName name="Slicer_Gender4">#N/A</definedName>
    <definedName name="Slicer_Most_Used_Platform">#N/A</definedName>
    <definedName name="Slicer_Most_Used_Platform1">#N/A</definedName>
    <definedName name="Slicer_Most_Used_Platform2">#N/A</definedName>
    <definedName name="Slicer_Relationship_Status">#N/A</definedName>
    <definedName name="Slicer_Relationship_Status1">#N/A</definedName>
  </definedNames>
  <calcPr calcId="191029"/>
  <pivotCaches>
    <pivotCache cacheId="7" r:id="rId14"/>
    <pivotCache cacheId="8" r:id="rId15"/>
    <pivotCache cacheId="9"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06" i="1" l="1"/>
  <c r="Q706" i="1"/>
  <c r="P706" i="1"/>
  <c r="O706" i="1"/>
  <c r="N706" i="1"/>
  <c r="R705" i="1"/>
  <c r="Q705" i="1"/>
  <c r="P705" i="1"/>
  <c r="O705" i="1"/>
  <c r="N705" i="1"/>
  <c r="R704" i="1"/>
  <c r="Q704" i="1"/>
  <c r="P704" i="1"/>
  <c r="O704" i="1"/>
  <c r="N704" i="1"/>
  <c r="R703" i="1"/>
  <c r="Q703" i="1"/>
  <c r="P703" i="1"/>
  <c r="O703" i="1"/>
  <c r="N703" i="1"/>
  <c r="R702" i="1"/>
  <c r="Q702" i="1"/>
  <c r="P702" i="1"/>
  <c r="O702" i="1"/>
  <c r="N702" i="1"/>
  <c r="R701" i="1"/>
  <c r="Q701" i="1"/>
  <c r="P701" i="1"/>
  <c r="O701" i="1"/>
  <c r="N701" i="1"/>
  <c r="R700" i="1"/>
  <c r="Q700" i="1"/>
  <c r="P700" i="1"/>
  <c r="O700" i="1"/>
  <c r="N700" i="1"/>
  <c r="R699" i="1"/>
  <c r="Q699" i="1"/>
  <c r="P699" i="1"/>
  <c r="O699" i="1"/>
  <c r="N699" i="1"/>
  <c r="R698" i="1"/>
  <c r="Q698" i="1"/>
  <c r="P698" i="1"/>
  <c r="O698" i="1"/>
  <c r="N698" i="1"/>
  <c r="R697" i="1"/>
  <c r="Q697" i="1"/>
  <c r="P697" i="1"/>
  <c r="O697" i="1"/>
  <c r="N697" i="1"/>
  <c r="R696" i="1"/>
  <c r="Q696" i="1"/>
  <c r="P696" i="1"/>
  <c r="O696" i="1"/>
  <c r="N696" i="1"/>
  <c r="R695" i="1"/>
  <c r="Q695" i="1"/>
  <c r="P695" i="1"/>
  <c r="O695" i="1"/>
  <c r="N695" i="1"/>
  <c r="R694" i="1"/>
  <c r="Q694" i="1"/>
  <c r="P694" i="1"/>
  <c r="O694" i="1"/>
  <c r="N694" i="1"/>
  <c r="R693" i="1"/>
  <c r="Q693" i="1"/>
  <c r="P693" i="1"/>
  <c r="O693" i="1"/>
  <c r="N693" i="1"/>
  <c r="R692" i="1"/>
  <c r="Q692" i="1"/>
  <c r="P692" i="1"/>
  <c r="O692" i="1"/>
  <c r="N692" i="1"/>
  <c r="R691" i="1"/>
  <c r="Q691" i="1"/>
  <c r="P691" i="1"/>
  <c r="O691" i="1"/>
  <c r="N691" i="1"/>
  <c r="R690" i="1"/>
  <c r="Q690" i="1"/>
  <c r="P690" i="1"/>
  <c r="O690" i="1"/>
  <c r="N690" i="1"/>
  <c r="R689" i="1"/>
  <c r="Q689" i="1"/>
  <c r="P689" i="1"/>
  <c r="O689" i="1"/>
  <c r="N689" i="1"/>
  <c r="R688" i="1"/>
  <c r="Q688" i="1"/>
  <c r="P688" i="1"/>
  <c r="O688" i="1"/>
  <c r="N688" i="1"/>
  <c r="R687" i="1"/>
  <c r="Q687" i="1"/>
  <c r="P687" i="1"/>
  <c r="O687" i="1"/>
  <c r="N687" i="1"/>
  <c r="R686" i="1"/>
  <c r="Q686" i="1"/>
  <c r="P686" i="1"/>
  <c r="O686" i="1"/>
  <c r="N686" i="1"/>
  <c r="R685" i="1"/>
  <c r="Q685" i="1"/>
  <c r="P685" i="1"/>
  <c r="O685" i="1"/>
  <c r="N685" i="1"/>
  <c r="R684" i="1"/>
  <c r="Q684" i="1"/>
  <c r="P684" i="1"/>
  <c r="O684" i="1"/>
  <c r="N684" i="1"/>
  <c r="R683" i="1"/>
  <c r="Q683" i="1"/>
  <c r="P683" i="1"/>
  <c r="O683" i="1"/>
  <c r="N683" i="1"/>
  <c r="R682" i="1"/>
  <c r="Q682" i="1"/>
  <c r="P682" i="1"/>
  <c r="O682" i="1"/>
  <c r="N682" i="1"/>
  <c r="R681" i="1"/>
  <c r="Q681" i="1"/>
  <c r="P681" i="1"/>
  <c r="O681" i="1"/>
  <c r="N681" i="1"/>
  <c r="R680" i="1"/>
  <c r="Q680" i="1"/>
  <c r="P680" i="1"/>
  <c r="O680" i="1"/>
  <c r="N680" i="1"/>
  <c r="R679" i="1"/>
  <c r="Q679" i="1"/>
  <c r="P679" i="1"/>
  <c r="O679" i="1"/>
  <c r="N679" i="1"/>
  <c r="R678" i="1"/>
  <c r="Q678" i="1"/>
  <c r="P678" i="1"/>
  <c r="O678" i="1"/>
  <c r="N678" i="1"/>
  <c r="R677" i="1"/>
  <c r="Q677" i="1"/>
  <c r="P677" i="1"/>
  <c r="O677" i="1"/>
  <c r="N677" i="1"/>
  <c r="R676" i="1"/>
  <c r="Q676" i="1"/>
  <c r="P676" i="1"/>
  <c r="O676" i="1"/>
  <c r="N676" i="1"/>
  <c r="R675" i="1"/>
  <c r="Q675" i="1"/>
  <c r="P675" i="1"/>
  <c r="O675" i="1"/>
  <c r="N675" i="1"/>
  <c r="R674" i="1"/>
  <c r="Q674" i="1"/>
  <c r="P674" i="1"/>
  <c r="O674" i="1"/>
  <c r="N674" i="1"/>
  <c r="R673" i="1"/>
  <c r="Q673" i="1"/>
  <c r="P673" i="1"/>
  <c r="O673" i="1"/>
  <c r="N673" i="1"/>
  <c r="R672" i="1"/>
  <c r="Q672" i="1"/>
  <c r="P672" i="1"/>
  <c r="O672" i="1"/>
  <c r="N672" i="1"/>
  <c r="R671" i="1"/>
  <c r="Q671" i="1"/>
  <c r="P671" i="1"/>
  <c r="O671" i="1"/>
  <c r="N671" i="1"/>
  <c r="R670" i="1"/>
  <c r="Q670" i="1"/>
  <c r="P670" i="1"/>
  <c r="O670" i="1"/>
  <c r="N670" i="1"/>
  <c r="R669" i="1"/>
  <c r="Q669" i="1"/>
  <c r="P669" i="1"/>
  <c r="O669" i="1"/>
  <c r="N669" i="1"/>
  <c r="R668" i="1"/>
  <c r="Q668" i="1"/>
  <c r="P668" i="1"/>
  <c r="O668" i="1"/>
  <c r="N668" i="1"/>
  <c r="R667" i="1"/>
  <c r="Q667" i="1"/>
  <c r="P667" i="1"/>
  <c r="O667" i="1"/>
  <c r="N667" i="1"/>
  <c r="R666" i="1"/>
  <c r="Q666" i="1"/>
  <c r="P666" i="1"/>
  <c r="O666" i="1"/>
  <c r="N666" i="1"/>
  <c r="R665" i="1"/>
  <c r="Q665" i="1"/>
  <c r="P665" i="1"/>
  <c r="O665" i="1"/>
  <c r="N665" i="1"/>
  <c r="R664" i="1"/>
  <c r="Q664" i="1"/>
  <c r="P664" i="1"/>
  <c r="O664" i="1"/>
  <c r="N664" i="1"/>
  <c r="R663" i="1"/>
  <c r="Q663" i="1"/>
  <c r="P663" i="1"/>
  <c r="O663" i="1"/>
  <c r="N663" i="1"/>
  <c r="R662" i="1"/>
  <c r="Q662" i="1"/>
  <c r="P662" i="1"/>
  <c r="O662" i="1"/>
  <c r="N662" i="1"/>
  <c r="R661" i="1"/>
  <c r="Q661" i="1"/>
  <c r="P661" i="1"/>
  <c r="O661" i="1"/>
  <c r="N661" i="1"/>
  <c r="R660" i="1"/>
  <c r="Q660" i="1"/>
  <c r="P660" i="1"/>
  <c r="O660" i="1"/>
  <c r="N660" i="1"/>
  <c r="R659" i="1"/>
  <c r="Q659" i="1"/>
  <c r="P659" i="1"/>
  <c r="O659" i="1"/>
  <c r="N659" i="1"/>
  <c r="R658" i="1"/>
  <c r="Q658" i="1"/>
  <c r="P658" i="1"/>
  <c r="O658" i="1"/>
  <c r="N658" i="1"/>
  <c r="R657" i="1"/>
  <c r="Q657" i="1"/>
  <c r="P657" i="1"/>
  <c r="O657" i="1"/>
  <c r="N657" i="1"/>
  <c r="R656" i="1"/>
  <c r="Q656" i="1"/>
  <c r="P656" i="1"/>
  <c r="O656" i="1"/>
  <c r="N656" i="1"/>
  <c r="R655" i="1"/>
  <c r="Q655" i="1"/>
  <c r="P655" i="1"/>
  <c r="O655" i="1"/>
  <c r="N655" i="1"/>
  <c r="R654" i="1"/>
  <c r="Q654" i="1"/>
  <c r="P654" i="1"/>
  <c r="O654" i="1"/>
  <c r="N654" i="1"/>
  <c r="R653" i="1"/>
  <c r="Q653" i="1"/>
  <c r="P653" i="1"/>
  <c r="O653" i="1"/>
  <c r="N653" i="1"/>
  <c r="R652" i="1"/>
  <c r="Q652" i="1"/>
  <c r="P652" i="1"/>
  <c r="O652" i="1"/>
  <c r="N652" i="1"/>
  <c r="R651" i="1"/>
  <c r="Q651" i="1"/>
  <c r="P651" i="1"/>
  <c r="O651" i="1"/>
  <c r="N651" i="1"/>
  <c r="R650" i="1"/>
  <c r="Q650" i="1"/>
  <c r="P650" i="1"/>
  <c r="O650" i="1"/>
  <c r="N650" i="1"/>
  <c r="R649" i="1"/>
  <c r="Q649" i="1"/>
  <c r="P649" i="1"/>
  <c r="O649" i="1"/>
  <c r="N649" i="1"/>
  <c r="R648" i="1"/>
  <c r="Q648" i="1"/>
  <c r="P648" i="1"/>
  <c r="O648" i="1"/>
  <c r="N648" i="1"/>
  <c r="R647" i="1"/>
  <c r="Q647" i="1"/>
  <c r="P647" i="1"/>
  <c r="O647" i="1"/>
  <c r="N647" i="1"/>
  <c r="R646" i="1"/>
  <c r="Q646" i="1"/>
  <c r="P646" i="1"/>
  <c r="O646" i="1"/>
  <c r="N646" i="1"/>
  <c r="R645" i="1"/>
  <c r="Q645" i="1"/>
  <c r="P645" i="1"/>
  <c r="O645" i="1"/>
  <c r="N645" i="1"/>
  <c r="R644" i="1"/>
  <c r="Q644" i="1"/>
  <c r="P644" i="1"/>
  <c r="O644" i="1"/>
  <c r="N644" i="1"/>
  <c r="R643" i="1"/>
  <c r="Q643" i="1"/>
  <c r="P643" i="1"/>
  <c r="O643" i="1"/>
  <c r="N643" i="1"/>
  <c r="R642" i="1"/>
  <c r="Q642" i="1"/>
  <c r="P642" i="1"/>
  <c r="O642" i="1"/>
  <c r="N642" i="1"/>
  <c r="R641" i="1"/>
  <c r="Q641" i="1"/>
  <c r="P641" i="1"/>
  <c r="O641" i="1"/>
  <c r="N641" i="1"/>
  <c r="R640" i="1"/>
  <c r="Q640" i="1"/>
  <c r="P640" i="1"/>
  <c r="O640" i="1"/>
  <c r="N640" i="1"/>
  <c r="R639" i="1"/>
  <c r="Q639" i="1"/>
  <c r="P639" i="1"/>
  <c r="O639" i="1"/>
  <c r="N639" i="1"/>
  <c r="R638" i="1"/>
  <c r="Q638" i="1"/>
  <c r="P638" i="1"/>
  <c r="O638" i="1"/>
  <c r="N638" i="1"/>
  <c r="R637" i="1"/>
  <c r="Q637" i="1"/>
  <c r="P637" i="1"/>
  <c r="O637" i="1"/>
  <c r="N637" i="1"/>
  <c r="R636" i="1"/>
  <c r="Q636" i="1"/>
  <c r="P636" i="1"/>
  <c r="O636" i="1"/>
  <c r="N636" i="1"/>
  <c r="R635" i="1"/>
  <c r="Q635" i="1"/>
  <c r="P635" i="1"/>
  <c r="O635" i="1"/>
  <c r="N635" i="1"/>
  <c r="R634" i="1"/>
  <c r="Q634" i="1"/>
  <c r="P634" i="1"/>
  <c r="O634" i="1"/>
  <c r="N634" i="1"/>
  <c r="R633" i="1"/>
  <c r="Q633" i="1"/>
  <c r="P633" i="1"/>
  <c r="O633" i="1"/>
  <c r="N633" i="1"/>
  <c r="R632" i="1"/>
  <c r="Q632" i="1"/>
  <c r="P632" i="1"/>
  <c r="O632" i="1"/>
  <c r="N632" i="1"/>
  <c r="R631" i="1"/>
  <c r="Q631" i="1"/>
  <c r="P631" i="1"/>
  <c r="O631" i="1"/>
  <c r="N631" i="1"/>
  <c r="R630" i="1"/>
  <c r="Q630" i="1"/>
  <c r="P630" i="1"/>
  <c r="O630" i="1"/>
  <c r="N630" i="1"/>
  <c r="R629" i="1"/>
  <c r="Q629" i="1"/>
  <c r="P629" i="1"/>
  <c r="O629" i="1"/>
  <c r="N629" i="1"/>
  <c r="R628" i="1"/>
  <c r="Q628" i="1"/>
  <c r="P628" i="1"/>
  <c r="O628" i="1"/>
  <c r="N628" i="1"/>
  <c r="R627" i="1"/>
  <c r="Q627" i="1"/>
  <c r="P627" i="1"/>
  <c r="O627" i="1"/>
  <c r="N627" i="1"/>
  <c r="R626" i="1"/>
  <c r="Q626" i="1"/>
  <c r="P626" i="1"/>
  <c r="O626" i="1"/>
  <c r="N626" i="1"/>
  <c r="R625" i="1"/>
  <c r="Q625" i="1"/>
  <c r="P625" i="1"/>
  <c r="O625" i="1"/>
  <c r="N625" i="1"/>
  <c r="R624" i="1"/>
  <c r="Q624" i="1"/>
  <c r="P624" i="1"/>
  <c r="O624" i="1"/>
  <c r="N624" i="1"/>
  <c r="R623" i="1"/>
  <c r="Q623" i="1"/>
  <c r="P623" i="1"/>
  <c r="O623" i="1"/>
  <c r="N623" i="1"/>
  <c r="R622" i="1"/>
  <c r="Q622" i="1"/>
  <c r="P622" i="1"/>
  <c r="O622" i="1"/>
  <c r="N622" i="1"/>
  <c r="R621" i="1"/>
  <c r="Q621" i="1"/>
  <c r="P621" i="1"/>
  <c r="O621" i="1"/>
  <c r="N621" i="1"/>
  <c r="R620" i="1"/>
  <c r="Q620" i="1"/>
  <c r="P620" i="1"/>
  <c r="O620" i="1"/>
  <c r="N620" i="1"/>
  <c r="R619" i="1"/>
  <c r="Q619" i="1"/>
  <c r="P619" i="1"/>
  <c r="O619" i="1"/>
  <c r="N619" i="1"/>
  <c r="R618" i="1"/>
  <c r="Q618" i="1"/>
  <c r="P618" i="1"/>
  <c r="O618" i="1"/>
  <c r="N618" i="1"/>
  <c r="R617" i="1"/>
  <c r="Q617" i="1"/>
  <c r="P617" i="1"/>
  <c r="O617" i="1"/>
  <c r="N617" i="1"/>
  <c r="R616" i="1"/>
  <c r="Q616" i="1"/>
  <c r="P616" i="1"/>
  <c r="O616" i="1"/>
  <c r="N616" i="1"/>
  <c r="R615" i="1"/>
  <c r="Q615" i="1"/>
  <c r="P615" i="1"/>
  <c r="O615" i="1"/>
  <c r="N615" i="1"/>
  <c r="R614" i="1"/>
  <c r="Q614" i="1"/>
  <c r="P614" i="1"/>
  <c r="O614" i="1"/>
  <c r="N614" i="1"/>
  <c r="R613" i="1"/>
  <c r="Q613" i="1"/>
  <c r="P613" i="1"/>
  <c r="O613" i="1"/>
  <c r="N613" i="1"/>
  <c r="R612" i="1"/>
  <c r="Q612" i="1"/>
  <c r="P612" i="1"/>
  <c r="O612" i="1"/>
  <c r="N612" i="1"/>
  <c r="R611" i="1"/>
  <c r="Q611" i="1"/>
  <c r="P611" i="1"/>
  <c r="O611" i="1"/>
  <c r="N611" i="1"/>
  <c r="R610" i="1"/>
  <c r="Q610" i="1"/>
  <c r="P610" i="1"/>
  <c r="O610" i="1"/>
  <c r="N610" i="1"/>
  <c r="R609" i="1"/>
  <c r="Q609" i="1"/>
  <c r="P609" i="1"/>
  <c r="O609" i="1"/>
  <c r="N609" i="1"/>
  <c r="R608" i="1"/>
  <c r="Q608" i="1"/>
  <c r="P608" i="1"/>
  <c r="O608" i="1"/>
  <c r="N608" i="1"/>
  <c r="R607" i="1"/>
  <c r="Q607" i="1"/>
  <c r="P607" i="1"/>
  <c r="O607" i="1"/>
  <c r="N607" i="1"/>
  <c r="R606" i="1"/>
  <c r="Q606" i="1"/>
  <c r="P606" i="1"/>
  <c r="O606" i="1"/>
  <c r="N606" i="1"/>
  <c r="R605" i="1"/>
  <c r="Q605" i="1"/>
  <c r="P605" i="1"/>
  <c r="O605" i="1"/>
  <c r="N605" i="1"/>
  <c r="R604" i="1"/>
  <c r="Q604" i="1"/>
  <c r="P604" i="1"/>
  <c r="O604" i="1"/>
  <c r="N604" i="1"/>
  <c r="R603" i="1"/>
  <c r="Q603" i="1"/>
  <c r="P603" i="1"/>
  <c r="O603" i="1"/>
  <c r="N603" i="1"/>
  <c r="R602" i="1"/>
  <c r="Q602" i="1"/>
  <c r="P602" i="1"/>
  <c r="O602" i="1"/>
  <c r="N602" i="1"/>
  <c r="R601" i="1"/>
  <c r="Q601" i="1"/>
  <c r="P601" i="1"/>
  <c r="O601" i="1"/>
  <c r="N601" i="1"/>
  <c r="R600" i="1"/>
  <c r="Q600" i="1"/>
  <c r="P600" i="1"/>
  <c r="O600" i="1"/>
  <c r="N600" i="1"/>
  <c r="R599" i="1"/>
  <c r="Q599" i="1"/>
  <c r="P599" i="1"/>
  <c r="O599" i="1"/>
  <c r="N599" i="1"/>
  <c r="R598" i="1"/>
  <c r="Q598" i="1"/>
  <c r="P598" i="1"/>
  <c r="O598" i="1"/>
  <c r="N598" i="1"/>
  <c r="R597" i="1"/>
  <c r="Q597" i="1"/>
  <c r="P597" i="1"/>
  <c r="O597" i="1"/>
  <c r="N597" i="1"/>
  <c r="R596" i="1"/>
  <c r="Q596" i="1"/>
  <c r="P596" i="1"/>
  <c r="O596" i="1"/>
  <c r="N596" i="1"/>
  <c r="R595" i="1"/>
  <c r="Q595" i="1"/>
  <c r="P595" i="1"/>
  <c r="O595" i="1"/>
  <c r="N595" i="1"/>
  <c r="R594" i="1"/>
  <c r="Q594" i="1"/>
  <c r="P594" i="1"/>
  <c r="O594" i="1"/>
  <c r="N594" i="1"/>
  <c r="R593" i="1"/>
  <c r="Q593" i="1"/>
  <c r="P593" i="1"/>
  <c r="O593" i="1"/>
  <c r="N593" i="1"/>
  <c r="R592" i="1"/>
  <c r="Q592" i="1"/>
  <c r="P592" i="1"/>
  <c r="O592" i="1"/>
  <c r="N592" i="1"/>
  <c r="R591" i="1"/>
  <c r="Q591" i="1"/>
  <c r="P591" i="1"/>
  <c r="O591" i="1"/>
  <c r="N591" i="1"/>
  <c r="R590" i="1"/>
  <c r="Q590" i="1"/>
  <c r="P590" i="1"/>
  <c r="O590" i="1"/>
  <c r="N590" i="1"/>
  <c r="R589" i="1"/>
  <c r="Q589" i="1"/>
  <c r="P589" i="1"/>
  <c r="O589" i="1"/>
  <c r="N589" i="1"/>
  <c r="R588" i="1"/>
  <c r="Q588" i="1"/>
  <c r="P588" i="1"/>
  <c r="O588" i="1"/>
  <c r="N588" i="1"/>
  <c r="R587" i="1"/>
  <c r="Q587" i="1"/>
  <c r="P587" i="1"/>
  <c r="O587" i="1"/>
  <c r="N587" i="1"/>
  <c r="R586" i="1"/>
  <c r="Q586" i="1"/>
  <c r="P586" i="1"/>
  <c r="O586" i="1"/>
  <c r="N586" i="1"/>
  <c r="R585" i="1"/>
  <c r="Q585" i="1"/>
  <c r="P585" i="1"/>
  <c r="O585" i="1"/>
  <c r="N585" i="1"/>
  <c r="R584" i="1"/>
  <c r="Q584" i="1"/>
  <c r="P584" i="1"/>
  <c r="O584" i="1"/>
  <c r="N584" i="1"/>
  <c r="R583" i="1"/>
  <c r="Q583" i="1"/>
  <c r="P583" i="1"/>
  <c r="O583" i="1"/>
  <c r="N583" i="1"/>
  <c r="R582" i="1"/>
  <c r="Q582" i="1"/>
  <c r="P582" i="1"/>
  <c r="O582" i="1"/>
  <c r="N582" i="1"/>
  <c r="R581" i="1"/>
  <c r="Q581" i="1"/>
  <c r="P581" i="1"/>
  <c r="O581" i="1"/>
  <c r="N581" i="1"/>
  <c r="R580" i="1"/>
  <c r="Q580" i="1"/>
  <c r="P580" i="1"/>
  <c r="O580" i="1"/>
  <c r="N580" i="1"/>
  <c r="R579" i="1"/>
  <c r="Q579" i="1"/>
  <c r="P579" i="1"/>
  <c r="O579" i="1"/>
  <c r="N579" i="1"/>
  <c r="R578" i="1"/>
  <c r="Q578" i="1"/>
  <c r="P578" i="1"/>
  <c r="O578" i="1"/>
  <c r="N578" i="1"/>
  <c r="R577" i="1"/>
  <c r="Q577" i="1"/>
  <c r="P577" i="1"/>
  <c r="O577" i="1"/>
  <c r="N577" i="1"/>
  <c r="R576" i="1"/>
  <c r="Q576" i="1"/>
  <c r="P576" i="1"/>
  <c r="O576" i="1"/>
  <c r="N576" i="1"/>
  <c r="R575" i="1"/>
  <c r="Q575" i="1"/>
  <c r="P575" i="1"/>
  <c r="O575" i="1"/>
  <c r="N575" i="1"/>
  <c r="R574" i="1"/>
  <c r="Q574" i="1"/>
  <c r="P574" i="1"/>
  <c r="O574" i="1"/>
  <c r="N574" i="1"/>
  <c r="R573" i="1"/>
  <c r="Q573" i="1"/>
  <c r="P573" i="1"/>
  <c r="O573" i="1"/>
  <c r="N573" i="1"/>
  <c r="R572" i="1"/>
  <c r="Q572" i="1"/>
  <c r="P572" i="1"/>
  <c r="O572" i="1"/>
  <c r="N572" i="1"/>
  <c r="R571" i="1"/>
  <c r="Q571" i="1"/>
  <c r="P571" i="1"/>
  <c r="O571" i="1"/>
  <c r="N571" i="1"/>
  <c r="R570" i="1"/>
  <c r="Q570" i="1"/>
  <c r="P570" i="1"/>
  <c r="O570" i="1"/>
  <c r="N570" i="1"/>
  <c r="R569" i="1"/>
  <c r="Q569" i="1"/>
  <c r="P569" i="1"/>
  <c r="O569" i="1"/>
  <c r="N569" i="1"/>
  <c r="R568" i="1"/>
  <c r="Q568" i="1"/>
  <c r="P568" i="1"/>
  <c r="O568" i="1"/>
  <c r="N568" i="1"/>
  <c r="R567" i="1"/>
  <c r="Q567" i="1"/>
  <c r="P567" i="1"/>
  <c r="O567" i="1"/>
  <c r="N567" i="1"/>
  <c r="R566" i="1"/>
  <c r="Q566" i="1"/>
  <c r="P566" i="1"/>
  <c r="O566" i="1"/>
  <c r="N566" i="1"/>
  <c r="R565" i="1"/>
  <c r="Q565" i="1"/>
  <c r="P565" i="1"/>
  <c r="O565" i="1"/>
  <c r="N565" i="1"/>
  <c r="R564" i="1"/>
  <c r="Q564" i="1"/>
  <c r="P564" i="1"/>
  <c r="O564" i="1"/>
  <c r="N564" i="1"/>
  <c r="R563" i="1"/>
  <c r="Q563" i="1"/>
  <c r="P563" i="1"/>
  <c r="O563" i="1"/>
  <c r="N563" i="1"/>
  <c r="R562" i="1"/>
  <c r="Q562" i="1"/>
  <c r="P562" i="1"/>
  <c r="O562" i="1"/>
  <c r="N562" i="1"/>
  <c r="R561" i="1"/>
  <c r="Q561" i="1"/>
  <c r="P561" i="1"/>
  <c r="O561" i="1"/>
  <c r="N561" i="1"/>
  <c r="R560" i="1"/>
  <c r="Q560" i="1"/>
  <c r="P560" i="1"/>
  <c r="O560" i="1"/>
  <c r="N560" i="1"/>
  <c r="R559" i="1"/>
  <c r="Q559" i="1"/>
  <c r="P559" i="1"/>
  <c r="O559" i="1"/>
  <c r="N559" i="1"/>
  <c r="R558" i="1"/>
  <c r="Q558" i="1"/>
  <c r="P558" i="1"/>
  <c r="O558" i="1"/>
  <c r="N558" i="1"/>
  <c r="R557" i="1"/>
  <c r="Q557" i="1"/>
  <c r="P557" i="1"/>
  <c r="O557" i="1"/>
  <c r="N557" i="1"/>
  <c r="R556" i="1"/>
  <c r="Q556" i="1"/>
  <c r="P556" i="1"/>
  <c r="O556" i="1"/>
  <c r="N556" i="1"/>
  <c r="R555" i="1"/>
  <c r="Q555" i="1"/>
  <c r="P555" i="1"/>
  <c r="O555" i="1"/>
  <c r="N555" i="1"/>
  <c r="R554" i="1"/>
  <c r="Q554" i="1"/>
  <c r="P554" i="1"/>
  <c r="O554" i="1"/>
  <c r="N554" i="1"/>
  <c r="R553" i="1"/>
  <c r="Q553" i="1"/>
  <c r="P553" i="1"/>
  <c r="O553" i="1"/>
  <c r="N553" i="1"/>
  <c r="R552" i="1"/>
  <c r="Q552" i="1"/>
  <c r="P552" i="1"/>
  <c r="O552" i="1"/>
  <c r="N552" i="1"/>
  <c r="R551" i="1"/>
  <c r="Q551" i="1"/>
  <c r="P551" i="1"/>
  <c r="O551" i="1"/>
  <c r="N551" i="1"/>
  <c r="R550" i="1"/>
  <c r="Q550" i="1"/>
  <c r="P550" i="1"/>
  <c r="O550" i="1"/>
  <c r="N550" i="1"/>
  <c r="R549" i="1"/>
  <c r="Q549" i="1"/>
  <c r="P549" i="1"/>
  <c r="O549" i="1"/>
  <c r="N549" i="1"/>
  <c r="R548" i="1"/>
  <c r="Q548" i="1"/>
  <c r="P548" i="1"/>
  <c r="O548" i="1"/>
  <c r="N548" i="1"/>
  <c r="R547" i="1"/>
  <c r="Q547" i="1"/>
  <c r="P547" i="1"/>
  <c r="O547" i="1"/>
  <c r="N547" i="1"/>
  <c r="R546" i="1"/>
  <c r="Q546" i="1"/>
  <c r="P546" i="1"/>
  <c r="O546" i="1"/>
  <c r="N546" i="1"/>
  <c r="R545" i="1"/>
  <c r="Q545" i="1"/>
  <c r="P545" i="1"/>
  <c r="O545" i="1"/>
  <c r="N545" i="1"/>
  <c r="R544" i="1"/>
  <c r="Q544" i="1"/>
  <c r="P544" i="1"/>
  <c r="O544" i="1"/>
  <c r="N544" i="1"/>
  <c r="R543" i="1"/>
  <c r="Q543" i="1"/>
  <c r="P543" i="1"/>
  <c r="O543" i="1"/>
  <c r="N543" i="1"/>
  <c r="R542" i="1"/>
  <c r="Q542" i="1"/>
  <c r="P542" i="1"/>
  <c r="O542" i="1"/>
  <c r="N542" i="1"/>
  <c r="R541" i="1"/>
  <c r="Q541" i="1"/>
  <c r="P541" i="1"/>
  <c r="O541" i="1"/>
  <c r="N541" i="1"/>
  <c r="R540" i="1"/>
  <c r="Q540" i="1"/>
  <c r="P540" i="1"/>
  <c r="O540" i="1"/>
  <c r="N540" i="1"/>
  <c r="R539" i="1"/>
  <c r="Q539" i="1"/>
  <c r="P539" i="1"/>
  <c r="O539" i="1"/>
  <c r="N539" i="1"/>
  <c r="R538" i="1"/>
  <c r="Q538" i="1"/>
  <c r="P538" i="1"/>
  <c r="O538" i="1"/>
  <c r="N538" i="1"/>
  <c r="R537" i="1"/>
  <c r="Q537" i="1"/>
  <c r="P537" i="1"/>
  <c r="O537" i="1"/>
  <c r="N537" i="1"/>
  <c r="R536" i="1"/>
  <c r="Q536" i="1"/>
  <c r="P536" i="1"/>
  <c r="O536" i="1"/>
  <c r="N536" i="1"/>
  <c r="R535" i="1"/>
  <c r="Q535" i="1"/>
  <c r="P535" i="1"/>
  <c r="O535" i="1"/>
  <c r="N535" i="1"/>
  <c r="R534" i="1"/>
  <c r="Q534" i="1"/>
  <c r="P534" i="1"/>
  <c r="O534" i="1"/>
  <c r="N534" i="1"/>
  <c r="R533" i="1"/>
  <c r="Q533" i="1"/>
  <c r="P533" i="1"/>
  <c r="O533" i="1"/>
  <c r="N533" i="1"/>
  <c r="R532" i="1"/>
  <c r="Q532" i="1"/>
  <c r="P532" i="1"/>
  <c r="O532" i="1"/>
  <c r="N532" i="1"/>
  <c r="R531" i="1"/>
  <c r="Q531" i="1"/>
  <c r="P531" i="1"/>
  <c r="O531" i="1"/>
  <c r="N531" i="1"/>
  <c r="R530" i="1"/>
  <c r="Q530" i="1"/>
  <c r="P530" i="1"/>
  <c r="O530" i="1"/>
  <c r="N530" i="1"/>
  <c r="R529" i="1"/>
  <c r="Q529" i="1"/>
  <c r="P529" i="1"/>
  <c r="O529" i="1"/>
  <c r="N529" i="1"/>
  <c r="R528" i="1"/>
  <c r="Q528" i="1"/>
  <c r="P528" i="1"/>
  <c r="O528" i="1"/>
  <c r="N528" i="1"/>
  <c r="R527" i="1"/>
  <c r="Q527" i="1"/>
  <c r="P527" i="1"/>
  <c r="O527" i="1"/>
  <c r="N527" i="1"/>
  <c r="R526" i="1"/>
  <c r="Q526" i="1"/>
  <c r="P526" i="1"/>
  <c r="O526" i="1"/>
  <c r="N526" i="1"/>
  <c r="R525" i="1"/>
  <c r="Q525" i="1"/>
  <c r="P525" i="1"/>
  <c r="O525" i="1"/>
  <c r="N525" i="1"/>
  <c r="R524" i="1"/>
  <c r="Q524" i="1"/>
  <c r="P524" i="1"/>
  <c r="O524" i="1"/>
  <c r="N524" i="1"/>
  <c r="R523" i="1"/>
  <c r="Q523" i="1"/>
  <c r="P523" i="1"/>
  <c r="O523" i="1"/>
  <c r="N523" i="1"/>
  <c r="R522" i="1"/>
  <c r="Q522" i="1"/>
  <c r="P522" i="1"/>
  <c r="O522" i="1"/>
  <c r="N522" i="1"/>
  <c r="R521" i="1"/>
  <c r="Q521" i="1"/>
  <c r="P521" i="1"/>
  <c r="O521" i="1"/>
  <c r="N521" i="1"/>
  <c r="R520" i="1"/>
  <c r="Q520" i="1"/>
  <c r="P520" i="1"/>
  <c r="O520" i="1"/>
  <c r="N520" i="1"/>
  <c r="R519" i="1"/>
  <c r="Q519" i="1"/>
  <c r="P519" i="1"/>
  <c r="O519" i="1"/>
  <c r="N519" i="1"/>
  <c r="R518" i="1"/>
  <c r="Q518" i="1"/>
  <c r="P518" i="1"/>
  <c r="O518" i="1"/>
  <c r="N518" i="1"/>
  <c r="R517" i="1"/>
  <c r="Q517" i="1"/>
  <c r="P517" i="1"/>
  <c r="O517" i="1"/>
  <c r="N517" i="1"/>
  <c r="R516" i="1"/>
  <c r="Q516" i="1"/>
  <c r="P516" i="1"/>
  <c r="O516" i="1"/>
  <c r="N516" i="1"/>
  <c r="R515" i="1"/>
  <c r="Q515" i="1"/>
  <c r="P515" i="1"/>
  <c r="O515" i="1"/>
  <c r="N515" i="1"/>
  <c r="R514" i="1"/>
  <c r="Q514" i="1"/>
  <c r="P514" i="1"/>
  <c r="O514" i="1"/>
  <c r="N514" i="1"/>
  <c r="R513" i="1"/>
  <c r="Q513" i="1"/>
  <c r="P513" i="1"/>
  <c r="O513" i="1"/>
  <c r="N513" i="1"/>
  <c r="R512" i="1"/>
  <c r="Q512" i="1"/>
  <c r="P512" i="1"/>
  <c r="O512" i="1"/>
  <c r="N512" i="1"/>
  <c r="R511" i="1"/>
  <c r="Q511" i="1"/>
  <c r="P511" i="1"/>
  <c r="O511" i="1"/>
  <c r="N511" i="1"/>
  <c r="R510" i="1"/>
  <c r="Q510" i="1"/>
  <c r="P510" i="1"/>
  <c r="O510" i="1"/>
  <c r="N510" i="1"/>
  <c r="R509" i="1"/>
  <c r="Q509" i="1"/>
  <c r="P509" i="1"/>
  <c r="O509" i="1"/>
  <c r="N509" i="1"/>
  <c r="R508" i="1"/>
  <c r="Q508" i="1"/>
  <c r="P508" i="1"/>
  <c r="O508" i="1"/>
  <c r="N508" i="1"/>
  <c r="R507" i="1"/>
  <c r="Q507" i="1"/>
  <c r="P507" i="1"/>
  <c r="O507" i="1"/>
  <c r="N507" i="1"/>
  <c r="R506" i="1"/>
  <c r="Q506" i="1"/>
  <c r="P506" i="1"/>
  <c r="O506" i="1"/>
  <c r="N506" i="1"/>
  <c r="R505" i="1"/>
  <c r="Q505" i="1"/>
  <c r="P505" i="1"/>
  <c r="O505" i="1"/>
  <c r="N505" i="1"/>
  <c r="R504" i="1"/>
  <c r="Q504" i="1"/>
  <c r="P504" i="1"/>
  <c r="O504" i="1"/>
  <c r="N504" i="1"/>
  <c r="R503" i="1"/>
  <c r="Q503" i="1"/>
  <c r="P503" i="1"/>
  <c r="O503" i="1"/>
  <c r="N503" i="1"/>
  <c r="R502" i="1"/>
  <c r="Q502" i="1"/>
  <c r="P502" i="1"/>
  <c r="O502" i="1"/>
  <c r="N502" i="1"/>
  <c r="R501" i="1"/>
  <c r="Q501" i="1"/>
  <c r="P501" i="1"/>
  <c r="O501" i="1"/>
  <c r="N501" i="1"/>
  <c r="R500" i="1"/>
  <c r="Q500" i="1"/>
  <c r="P500" i="1"/>
  <c r="O500" i="1"/>
  <c r="N500" i="1"/>
  <c r="R499" i="1"/>
  <c r="Q499" i="1"/>
  <c r="P499" i="1"/>
  <c r="O499" i="1"/>
  <c r="N499" i="1"/>
  <c r="R498" i="1"/>
  <c r="Q498" i="1"/>
  <c r="P498" i="1"/>
  <c r="O498" i="1"/>
  <c r="N498" i="1"/>
  <c r="R497" i="1"/>
  <c r="Q497" i="1"/>
  <c r="P497" i="1"/>
  <c r="O497" i="1"/>
  <c r="N497" i="1"/>
  <c r="R496" i="1"/>
  <c r="Q496" i="1"/>
  <c r="P496" i="1"/>
  <c r="O496" i="1"/>
  <c r="N496" i="1"/>
  <c r="R495" i="1"/>
  <c r="Q495" i="1"/>
  <c r="P495" i="1"/>
  <c r="O495" i="1"/>
  <c r="N495" i="1"/>
  <c r="R494" i="1"/>
  <c r="Q494" i="1"/>
  <c r="P494" i="1"/>
  <c r="O494" i="1"/>
  <c r="N494" i="1"/>
  <c r="R493" i="1"/>
  <c r="Q493" i="1"/>
  <c r="P493" i="1"/>
  <c r="O493" i="1"/>
  <c r="N493" i="1"/>
  <c r="R492" i="1"/>
  <c r="Q492" i="1"/>
  <c r="P492" i="1"/>
  <c r="O492" i="1"/>
  <c r="N492" i="1"/>
  <c r="R491" i="1"/>
  <c r="Q491" i="1"/>
  <c r="P491" i="1"/>
  <c r="O491" i="1"/>
  <c r="N491" i="1"/>
  <c r="R490" i="1"/>
  <c r="Q490" i="1"/>
  <c r="P490" i="1"/>
  <c r="O490" i="1"/>
  <c r="N490" i="1"/>
  <c r="R489" i="1"/>
  <c r="Q489" i="1"/>
  <c r="P489" i="1"/>
  <c r="O489" i="1"/>
  <c r="N489" i="1"/>
  <c r="R488" i="1"/>
  <c r="Q488" i="1"/>
  <c r="P488" i="1"/>
  <c r="O488" i="1"/>
  <c r="N488" i="1"/>
  <c r="R487" i="1"/>
  <c r="Q487" i="1"/>
  <c r="P487" i="1"/>
  <c r="O487" i="1"/>
  <c r="N487" i="1"/>
  <c r="R486" i="1"/>
  <c r="Q486" i="1"/>
  <c r="P486" i="1"/>
  <c r="O486" i="1"/>
  <c r="N486" i="1"/>
  <c r="R485" i="1"/>
  <c r="Q485" i="1"/>
  <c r="P485" i="1"/>
  <c r="O485" i="1"/>
  <c r="N485" i="1"/>
  <c r="R484" i="1"/>
  <c r="Q484" i="1"/>
  <c r="P484" i="1"/>
  <c r="O484" i="1"/>
  <c r="N484" i="1"/>
  <c r="R483" i="1"/>
  <c r="Q483" i="1"/>
  <c r="P483" i="1"/>
  <c r="O483" i="1"/>
  <c r="N483" i="1"/>
  <c r="R482" i="1"/>
  <c r="Q482" i="1"/>
  <c r="P482" i="1"/>
  <c r="O482" i="1"/>
  <c r="N482" i="1"/>
  <c r="R481" i="1"/>
  <c r="Q481" i="1"/>
  <c r="P481" i="1"/>
  <c r="O481" i="1"/>
  <c r="N481" i="1"/>
  <c r="R480" i="1"/>
  <c r="Q480" i="1"/>
  <c r="P480" i="1"/>
  <c r="O480" i="1"/>
  <c r="N480" i="1"/>
  <c r="R479" i="1"/>
  <c r="Q479" i="1"/>
  <c r="P479" i="1"/>
  <c r="O479" i="1"/>
  <c r="N479" i="1"/>
  <c r="R478" i="1"/>
  <c r="Q478" i="1"/>
  <c r="P478" i="1"/>
  <c r="O478" i="1"/>
  <c r="N478" i="1"/>
  <c r="R477" i="1"/>
  <c r="Q477" i="1"/>
  <c r="P477" i="1"/>
  <c r="O477" i="1"/>
  <c r="N477" i="1"/>
  <c r="R476" i="1"/>
  <c r="Q476" i="1"/>
  <c r="P476" i="1"/>
  <c r="O476" i="1"/>
  <c r="N476" i="1"/>
  <c r="R475" i="1"/>
  <c r="Q475" i="1"/>
  <c r="P475" i="1"/>
  <c r="O475" i="1"/>
  <c r="N475" i="1"/>
  <c r="R474" i="1"/>
  <c r="Q474" i="1"/>
  <c r="P474" i="1"/>
  <c r="O474" i="1"/>
  <c r="N474" i="1"/>
  <c r="R473" i="1"/>
  <c r="Q473" i="1"/>
  <c r="P473" i="1"/>
  <c r="O473" i="1"/>
  <c r="N473" i="1"/>
  <c r="R472" i="1"/>
  <c r="Q472" i="1"/>
  <c r="P472" i="1"/>
  <c r="O472" i="1"/>
  <c r="N472" i="1"/>
  <c r="R471" i="1"/>
  <c r="Q471" i="1"/>
  <c r="P471" i="1"/>
  <c r="O471" i="1"/>
  <c r="N471" i="1"/>
  <c r="R470" i="1"/>
  <c r="Q470" i="1"/>
  <c r="P470" i="1"/>
  <c r="O470" i="1"/>
  <c r="N470" i="1"/>
  <c r="R469" i="1"/>
  <c r="Q469" i="1"/>
  <c r="P469" i="1"/>
  <c r="O469" i="1"/>
  <c r="N469" i="1"/>
  <c r="R468" i="1"/>
  <c r="Q468" i="1"/>
  <c r="P468" i="1"/>
  <c r="O468" i="1"/>
  <c r="N468" i="1"/>
  <c r="R467" i="1"/>
  <c r="Q467" i="1"/>
  <c r="P467" i="1"/>
  <c r="O467" i="1"/>
  <c r="N467" i="1"/>
  <c r="R466" i="1"/>
  <c r="Q466" i="1"/>
  <c r="P466" i="1"/>
  <c r="O466" i="1"/>
  <c r="N466" i="1"/>
  <c r="R465" i="1"/>
  <c r="Q465" i="1"/>
  <c r="P465" i="1"/>
  <c r="O465" i="1"/>
  <c r="N465" i="1"/>
  <c r="R464" i="1"/>
  <c r="Q464" i="1"/>
  <c r="P464" i="1"/>
  <c r="O464" i="1"/>
  <c r="N464" i="1"/>
  <c r="R463" i="1"/>
  <c r="Q463" i="1"/>
  <c r="P463" i="1"/>
  <c r="O463" i="1"/>
  <c r="N463" i="1"/>
  <c r="R462" i="1"/>
  <c r="Q462" i="1"/>
  <c r="P462" i="1"/>
  <c r="O462" i="1"/>
  <c r="N462" i="1"/>
  <c r="R461" i="1"/>
  <c r="Q461" i="1"/>
  <c r="P461" i="1"/>
  <c r="O461" i="1"/>
  <c r="N461" i="1"/>
  <c r="R460" i="1"/>
  <c r="Q460" i="1"/>
  <c r="P460" i="1"/>
  <c r="O460" i="1"/>
  <c r="N460" i="1"/>
  <c r="R459" i="1"/>
  <c r="Q459" i="1"/>
  <c r="P459" i="1"/>
  <c r="O459" i="1"/>
  <c r="N459" i="1"/>
  <c r="R458" i="1"/>
  <c r="Q458" i="1"/>
  <c r="P458" i="1"/>
  <c r="O458" i="1"/>
  <c r="N458" i="1"/>
  <c r="R457" i="1"/>
  <c r="Q457" i="1"/>
  <c r="P457" i="1"/>
  <c r="O457" i="1"/>
  <c r="N457" i="1"/>
  <c r="R456" i="1"/>
  <c r="Q456" i="1"/>
  <c r="P456" i="1"/>
  <c r="O456" i="1"/>
  <c r="N456" i="1"/>
  <c r="R455" i="1"/>
  <c r="Q455" i="1"/>
  <c r="P455" i="1"/>
  <c r="O455" i="1"/>
  <c r="N455" i="1"/>
  <c r="R454" i="1"/>
  <c r="Q454" i="1"/>
  <c r="P454" i="1"/>
  <c r="O454" i="1"/>
  <c r="N454" i="1"/>
  <c r="R453" i="1"/>
  <c r="Q453" i="1"/>
  <c r="P453" i="1"/>
  <c r="O453" i="1"/>
  <c r="N453" i="1"/>
  <c r="R452" i="1"/>
  <c r="Q452" i="1"/>
  <c r="P452" i="1"/>
  <c r="O452" i="1"/>
  <c r="N452" i="1"/>
  <c r="R451" i="1"/>
  <c r="Q451" i="1"/>
  <c r="P451" i="1"/>
  <c r="O451" i="1"/>
  <c r="N451" i="1"/>
  <c r="R450" i="1"/>
  <c r="Q450" i="1"/>
  <c r="P450" i="1"/>
  <c r="O450" i="1"/>
  <c r="N450" i="1"/>
  <c r="R449" i="1"/>
  <c r="Q449" i="1"/>
  <c r="P449" i="1"/>
  <c r="O449" i="1"/>
  <c r="N449" i="1"/>
  <c r="R448" i="1"/>
  <c r="Q448" i="1"/>
  <c r="P448" i="1"/>
  <c r="O448" i="1"/>
  <c r="N448" i="1"/>
  <c r="R447" i="1"/>
  <c r="Q447" i="1"/>
  <c r="P447" i="1"/>
  <c r="O447" i="1"/>
  <c r="N447" i="1"/>
  <c r="R446" i="1"/>
  <c r="Q446" i="1"/>
  <c r="P446" i="1"/>
  <c r="O446" i="1"/>
  <c r="N446" i="1"/>
  <c r="R445" i="1"/>
  <c r="Q445" i="1"/>
  <c r="P445" i="1"/>
  <c r="O445" i="1"/>
  <c r="N445" i="1"/>
  <c r="R444" i="1"/>
  <c r="Q444" i="1"/>
  <c r="P444" i="1"/>
  <c r="O444" i="1"/>
  <c r="N444" i="1"/>
  <c r="R443" i="1"/>
  <c r="Q443" i="1"/>
  <c r="P443" i="1"/>
  <c r="O443" i="1"/>
  <c r="N443" i="1"/>
  <c r="R442" i="1"/>
  <c r="Q442" i="1"/>
  <c r="P442" i="1"/>
  <c r="O442" i="1"/>
  <c r="N442" i="1"/>
  <c r="R441" i="1"/>
  <c r="Q441" i="1"/>
  <c r="P441" i="1"/>
  <c r="O441" i="1"/>
  <c r="N441" i="1"/>
  <c r="R440" i="1"/>
  <c r="Q440" i="1"/>
  <c r="P440" i="1"/>
  <c r="O440" i="1"/>
  <c r="N440" i="1"/>
  <c r="R439" i="1"/>
  <c r="Q439" i="1"/>
  <c r="P439" i="1"/>
  <c r="O439" i="1"/>
  <c r="N439" i="1"/>
  <c r="R438" i="1"/>
  <c r="Q438" i="1"/>
  <c r="P438" i="1"/>
  <c r="O438" i="1"/>
  <c r="N438" i="1"/>
  <c r="R437" i="1"/>
  <c r="Q437" i="1"/>
  <c r="P437" i="1"/>
  <c r="O437" i="1"/>
  <c r="N437" i="1"/>
  <c r="R436" i="1"/>
  <c r="Q436" i="1"/>
  <c r="P436" i="1"/>
  <c r="O436" i="1"/>
  <c r="N436" i="1"/>
  <c r="R435" i="1"/>
  <c r="Q435" i="1"/>
  <c r="P435" i="1"/>
  <c r="O435" i="1"/>
  <c r="N435" i="1"/>
  <c r="R434" i="1"/>
  <c r="Q434" i="1"/>
  <c r="P434" i="1"/>
  <c r="O434" i="1"/>
  <c r="N434" i="1"/>
  <c r="R433" i="1"/>
  <c r="Q433" i="1"/>
  <c r="P433" i="1"/>
  <c r="O433" i="1"/>
  <c r="N433" i="1"/>
  <c r="R432" i="1"/>
  <c r="Q432" i="1"/>
  <c r="P432" i="1"/>
  <c r="O432" i="1"/>
  <c r="N432" i="1"/>
  <c r="R431" i="1"/>
  <c r="Q431" i="1"/>
  <c r="P431" i="1"/>
  <c r="O431" i="1"/>
  <c r="N431" i="1"/>
  <c r="R430" i="1"/>
  <c r="Q430" i="1"/>
  <c r="P430" i="1"/>
  <c r="O430" i="1"/>
  <c r="N430" i="1"/>
  <c r="R429" i="1"/>
  <c r="Q429" i="1"/>
  <c r="P429" i="1"/>
  <c r="O429" i="1"/>
  <c r="N429" i="1"/>
  <c r="R428" i="1"/>
  <c r="Q428" i="1"/>
  <c r="P428" i="1"/>
  <c r="O428" i="1"/>
  <c r="N428" i="1"/>
  <c r="R427" i="1"/>
  <c r="Q427" i="1"/>
  <c r="P427" i="1"/>
  <c r="O427" i="1"/>
  <c r="N427" i="1"/>
  <c r="R426" i="1"/>
  <c r="Q426" i="1"/>
  <c r="P426" i="1"/>
  <c r="O426" i="1"/>
  <c r="N426" i="1"/>
  <c r="R425" i="1"/>
  <c r="Q425" i="1"/>
  <c r="P425" i="1"/>
  <c r="O425" i="1"/>
  <c r="N425" i="1"/>
  <c r="R424" i="1"/>
  <c r="Q424" i="1"/>
  <c r="P424" i="1"/>
  <c r="O424" i="1"/>
  <c r="N424" i="1"/>
  <c r="R423" i="1"/>
  <c r="Q423" i="1"/>
  <c r="P423" i="1"/>
  <c r="O423" i="1"/>
  <c r="N423" i="1"/>
  <c r="R422" i="1"/>
  <c r="Q422" i="1"/>
  <c r="P422" i="1"/>
  <c r="O422" i="1"/>
  <c r="N422" i="1"/>
  <c r="R421" i="1"/>
  <c r="Q421" i="1"/>
  <c r="P421" i="1"/>
  <c r="O421" i="1"/>
  <c r="N421" i="1"/>
  <c r="R420" i="1"/>
  <c r="Q420" i="1"/>
  <c r="P420" i="1"/>
  <c r="O420" i="1"/>
  <c r="N420" i="1"/>
  <c r="R419" i="1"/>
  <c r="Q419" i="1"/>
  <c r="P419" i="1"/>
  <c r="O419" i="1"/>
  <c r="N419" i="1"/>
  <c r="R418" i="1"/>
  <c r="Q418" i="1"/>
  <c r="P418" i="1"/>
  <c r="O418" i="1"/>
  <c r="N418" i="1"/>
  <c r="R417" i="1"/>
  <c r="Q417" i="1"/>
  <c r="P417" i="1"/>
  <c r="O417" i="1"/>
  <c r="N417" i="1"/>
  <c r="R416" i="1"/>
  <c r="Q416" i="1"/>
  <c r="P416" i="1"/>
  <c r="O416" i="1"/>
  <c r="N416" i="1"/>
  <c r="R415" i="1"/>
  <c r="Q415" i="1"/>
  <c r="P415" i="1"/>
  <c r="O415" i="1"/>
  <c r="N415" i="1"/>
  <c r="R414" i="1"/>
  <c r="Q414" i="1"/>
  <c r="P414" i="1"/>
  <c r="O414" i="1"/>
  <c r="N414" i="1"/>
  <c r="R413" i="1"/>
  <c r="Q413" i="1"/>
  <c r="P413" i="1"/>
  <c r="O413" i="1"/>
  <c r="N413" i="1"/>
  <c r="R412" i="1"/>
  <c r="Q412" i="1"/>
  <c r="P412" i="1"/>
  <c r="O412" i="1"/>
  <c r="N412" i="1"/>
  <c r="R411" i="1"/>
  <c r="Q411" i="1"/>
  <c r="P411" i="1"/>
  <c r="O411" i="1"/>
  <c r="N411" i="1"/>
  <c r="R410" i="1"/>
  <c r="Q410" i="1"/>
  <c r="P410" i="1"/>
  <c r="O410" i="1"/>
  <c r="N410" i="1"/>
  <c r="R409" i="1"/>
  <c r="Q409" i="1"/>
  <c r="P409" i="1"/>
  <c r="O409" i="1"/>
  <c r="N409" i="1"/>
  <c r="R408" i="1"/>
  <c r="Q408" i="1"/>
  <c r="P408" i="1"/>
  <c r="O408" i="1"/>
  <c r="N408" i="1"/>
  <c r="R407" i="1"/>
  <c r="Q407" i="1"/>
  <c r="P407" i="1"/>
  <c r="O407" i="1"/>
  <c r="N407" i="1"/>
  <c r="R406" i="1"/>
  <c r="Q406" i="1"/>
  <c r="P406" i="1"/>
  <c r="O406" i="1"/>
  <c r="N406" i="1"/>
  <c r="R405" i="1"/>
  <c r="Q405" i="1"/>
  <c r="P405" i="1"/>
  <c r="O405" i="1"/>
  <c r="N405" i="1"/>
  <c r="R404" i="1"/>
  <c r="Q404" i="1"/>
  <c r="P404" i="1"/>
  <c r="O404" i="1"/>
  <c r="N404" i="1"/>
  <c r="R403" i="1"/>
  <c r="Q403" i="1"/>
  <c r="P403" i="1"/>
  <c r="O403" i="1"/>
  <c r="N403" i="1"/>
  <c r="R402" i="1"/>
  <c r="Q402" i="1"/>
  <c r="P402" i="1"/>
  <c r="O402" i="1"/>
  <c r="N402" i="1"/>
  <c r="R401" i="1"/>
  <c r="Q401" i="1"/>
  <c r="P401" i="1"/>
  <c r="O401" i="1"/>
  <c r="N401" i="1"/>
  <c r="R400" i="1"/>
  <c r="Q400" i="1"/>
  <c r="P400" i="1"/>
  <c r="O400" i="1"/>
  <c r="N400" i="1"/>
  <c r="R399" i="1"/>
  <c r="Q399" i="1"/>
  <c r="P399" i="1"/>
  <c r="O399" i="1"/>
  <c r="N399" i="1"/>
  <c r="R398" i="1"/>
  <c r="Q398" i="1"/>
  <c r="P398" i="1"/>
  <c r="O398" i="1"/>
  <c r="N398" i="1"/>
  <c r="R397" i="1"/>
  <c r="Q397" i="1"/>
  <c r="P397" i="1"/>
  <c r="O397" i="1"/>
  <c r="N397" i="1"/>
  <c r="R396" i="1"/>
  <c r="Q396" i="1"/>
  <c r="P396" i="1"/>
  <c r="O396" i="1"/>
  <c r="N396" i="1"/>
  <c r="R395" i="1"/>
  <c r="Q395" i="1"/>
  <c r="P395" i="1"/>
  <c r="O395" i="1"/>
  <c r="N395" i="1"/>
  <c r="R394" i="1"/>
  <c r="Q394" i="1"/>
  <c r="P394" i="1"/>
  <c r="O394" i="1"/>
  <c r="N394" i="1"/>
  <c r="R393" i="1"/>
  <c r="Q393" i="1"/>
  <c r="P393" i="1"/>
  <c r="O393" i="1"/>
  <c r="N393" i="1"/>
  <c r="R392" i="1"/>
  <c r="Q392" i="1"/>
  <c r="P392" i="1"/>
  <c r="O392" i="1"/>
  <c r="N392" i="1"/>
  <c r="R391" i="1"/>
  <c r="Q391" i="1"/>
  <c r="P391" i="1"/>
  <c r="O391" i="1"/>
  <c r="N391" i="1"/>
  <c r="R390" i="1"/>
  <c r="Q390" i="1"/>
  <c r="P390" i="1"/>
  <c r="O390" i="1"/>
  <c r="N390" i="1"/>
  <c r="R389" i="1"/>
  <c r="Q389" i="1"/>
  <c r="P389" i="1"/>
  <c r="O389" i="1"/>
  <c r="N389" i="1"/>
  <c r="R388" i="1"/>
  <c r="Q388" i="1"/>
  <c r="P388" i="1"/>
  <c r="O388" i="1"/>
  <c r="N388" i="1"/>
  <c r="R387" i="1"/>
  <c r="Q387" i="1"/>
  <c r="P387" i="1"/>
  <c r="O387" i="1"/>
  <c r="N387" i="1"/>
  <c r="R386" i="1"/>
  <c r="Q386" i="1"/>
  <c r="P386" i="1"/>
  <c r="O386" i="1"/>
  <c r="N386" i="1"/>
  <c r="R385" i="1"/>
  <c r="Q385" i="1"/>
  <c r="P385" i="1"/>
  <c r="O385" i="1"/>
  <c r="N385" i="1"/>
  <c r="R384" i="1"/>
  <c r="Q384" i="1"/>
  <c r="P384" i="1"/>
  <c r="O384" i="1"/>
  <c r="N384" i="1"/>
  <c r="R383" i="1"/>
  <c r="Q383" i="1"/>
  <c r="P383" i="1"/>
  <c r="O383" i="1"/>
  <c r="N383" i="1"/>
  <c r="R382" i="1"/>
  <c r="Q382" i="1"/>
  <c r="P382" i="1"/>
  <c r="O382" i="1"/>
  <c r="N382" i="1"/>
  <c r="R381" i="1"/>
  <c r="Q381" i="1"/>
  <c r="P381" i="1"/>
  <c r="O381" i="1"/>
  <c r="N381" i="1"/>
  <c r="R380" i="1"/>
  <c r="Q380" i="1"/>
  <c r="P380" i="1"/>
  <c r="O380" i="1"/>
  <c r="N380" i="1"/>
  <c r="R379" i="1"/>
  <c r="Q379" i="1"/>
  <c r="P379" i="1"/>
  <c r="O379" i="1"/>
  <c r="N379" i="1"/>
  <c r="R378" i="1"/>
  <c r="Q378" i="1"/>
  <c r="P378" i="1"/>
  <c r="O378" i="1"/>
  <c r="N378" i="1"/>
  <c r="R377" i="1"/>
  <c r="Q377" i="1"/>
  <c r="P377" i="1"/>
  <c r="O377" i="1"/>
  <c r="N377" i="1"/>
  <c r="R376" i="1"/>
  <c r="Q376" i="1"/>
  <c r="P376" i="1"/>
  <c r="O376" i="1"/>
  <c r="N376" i="1"/>
  <c r="R375" i="1"/>
  <c r="Q375" i="1"/>
  <c r="P375" i="1"/>
  <c r="O375" i="1"/>
  <c r="N375" i="1"/>
  <c r="R374" i="1"/>
  <c r="Q374" i="1"/>
  <c r="P374" i="1"/>
  <c r="O374" i="1"/>
  <c r="N374" i="1"/>
  <c r="R373" i="1"/>
  <c r="Q373" i="1"/>
  <c r="P373" i="1"/>
  <c r="O373" i="1"/>
  <c r="N373" i="1"/>
  <c r="R372" i="1"/>
  <c r="Q372" i="1"/>
  <c r="P372" i="1"/>
  <c r="O372" i="1"/>
  <c r="N372" i="1"/>
  <c r="R371" i="1"/>
  <c r="Q371" i="1"/>
  <c r="P371" i="1"/>
  <c r="O371" i="1"/>
  <c r="N371" i="1"/>
  <c r="R370" i="1"/>
  <c r="Q370" i="1"/>
  <c r="P370" i="1"/>
  <c r="O370" i="1"/>
  <c r="N370" i="1"/>
  <c r="R369" i="1"/>
  <c r="Q369" i="1"/>
  <c r="P369" i="1"/>
  <c r="O369" i="1"/>
  <c r="N369" i="1"/>
  <c r="R368" i="1"/>
  <c r="Q368" i="1"/>
  <c r="P368" i="1"/>
  <c r="O368" i="1"/>
  <c r="N368" i="1"/>
  <c r="R367" i="1"/>
  <c r="Q367" i="1"/>
  <c r="P367" i="1"/>
  <c r="O367" i="1"/>
  <c r="N367" i="1"/>
  <c r="R366" i="1"/>
  <c r="Q366" i="1"/>
  <c r="P366" i="1"/>
  <c r="O366" i="1"/>
  <c r="N366" i="1"/>
  <c r="R365" i="1"/>
  <c r="Q365" i="1"/>
  <c r="P365" i="1"/>
  <c r="O365" i="1"/>
  <c r="N365" i="1"/>
  <c r="R364" i="1"/>
  <c r="Q364" i="1"/>
  <c r="P364" i="1"/>
  <c r="O364" i="1"/>
  <c r="N364" i="1"/>
  <c r="R363" i="1"/>
  <c r="Q363" i="1"/>
  <c r="P363" i="1"/>
  <c r="O363" i="1"/>
  <c r="N363" i="1"/>
  <c r="R362" i="1"/>
  <c r="Q362" i="1"/>
  <c r="P362" i="1"/>
  <c r="O362" i="1"/>
  <c r="N362" i="1"/>
  <c r="R361" i="1"/>
  <c r="Q361" i="1"/>
  <c r="P361" i="1"/>
  <c r="O361" i="1"/>
  <c r="N361" i="1"/>
  <c r="R360" i="1"/>
  <c r="Q360" i="1"/>
  <c r="P360" i="1"/>
  <c r="O360" i="1"/>
  <c r="N360" i="1"/>
  <c r="R359" i="1"/>
  <c r="Q359" i="1"/>
  <c r="P359" i="1"/>
  <c r="O359" i="1"/>
  <c r="N359" i="1"/>
  <c r="R358" i="1"/>
  <c r="Q358" i="1"/>
  <c r="P358" i="1"/>
  <c r="O358" i="1"/>
  <c r="N358" i="1"/>
  <c r="R357" i="1"/>
  <c r="Q357" i="1"/>
  <c r="P357" i="1"/>
  <c r="O357" i="1"/>
  <c r="N357" i="1"/>
  <c r="R356" i="1"/>
  <c r="Q356" i="1"/>
  <c r="P356" i="1"/>
  <c r="O356" i="1"/>
  <c r="N356" i="1"/>
  <c r="R355" i="1"/>
  <c r="Q355" i="1"/>
  <c r="P355" i="1"/>
  <c r="O355" i="1"/>
  <c r="N355" i="1"/>
  <c r="R354" i="1"/>
  <c r="Q354" i="1"/>
  <c r="P354" i="1"/>
  <c r="O354" i="1"/>
  <c r="N354" i="1"/>
  <c r="R353" i="1"/>
  <c r="Q353" i="1"/>
  <c r="P353" i="1"/>
  <c r="O353" i="1"/>
  <c r="N353" i="1"/>
  <c r="R352" i="1"/>
  <c r="Q352" i="1"/>
  <c r="P352" i="1"/>
  <c r="O352" i="1"/>
  <c r="N352" i="1"/>
  <c r="R351" i="1"/>
  <c r="Q351" i="1"/>
  <c r="P351" i="1"/>
  <c r="O351" i="1"/>
  <c r="N351" i="1"/>
  <c r="R350" i="1"/>
  <c r="Q350" i="1"/>
  <c r="P350" i="1"/>
  <c r="O350" i="1"/>
  <c r="N350" i="1"/>
  <c r="R349" i="1"/>
  <c r="Q349" i="1"/>
  <c r="P349" i="1"/>
  <c r="O349" i="1"/>
  <c r="N349" i="1"/>
  <c r="R348" i="1"/>
  <c r="Q348" i="1"/>
  <c r="P348" i="1"/>
  <c r="O348" i="1"/>
  <c r="N348" i="1"/>
  <c r="R347" i="1"/>
  <c r="Q347" i="1"/>
  <c r="P347" i="1"/>
  <c r="O347" i="1"/>
  <c r="N347" i="1"/>
  <c r="R346" i="1"/>
  <c r="Q346" i="1"/>
  <c r="P346" i="1"/>
  <c r="O346" i="1"/>
  <c r="N346" i="1"/>
  <c r="R345" i="1"/>
  <c r="Q345" i="1"/>
  <c r="P345" i="1"/>
  <c r="O345" i="1"/>
  <c r="N345" i="1"/>
  <c r="R344" i="1"/>
  <c r="Q344" i="1"/>
  <c r="P344" i="1"/>
  <c r="O344" i="1"/>
  <c r="N344" i="1"/>
  <c r="R343" i="1"/>
  <c r="Q343" i="1"/>
  <c r="P343" i="1"/>
  <c r="O343" i="1"/>
  <c r="N343" i="1"/>
  <c r="R342" i="1"/>
  <c r="Q342" i="1"/>
  <c r="P342" i="1"/>
  <c r="O342" i="1"/>
  <c r="N342" i="1"/>
  <c r="R341" i="1"/>
  <c r="Q341" i="1"/>
  <c r="P341" i="1"/>
  <c r="O341" i="1"/>
  <c r="N341" i="1"/>
  <c r="R340" i="1"/>
  <c r="Q340" i="1"/>
  <c r="P340" i="1"/>
  <c r="O340" i="1"/>
  <c r="N340" i="1"/>
  <c r="R339" i="1"/>
  <c r="Q339" i="1"/>
  <c r="P339" i="1"/>
  <c r="O339" i="1"/>
  <c r="N339" i="1"/>
  <c r="R338" i="1"/>
  <c r="Q338" i="1"/>
  <c r="P338" i="1"/>
  <c r="O338" i="1"/>
  <c r="N338" i="1"/>
  <c r="R337" i="1"/>
  <c r="Q337" i="1"/>
  <c r="P337" i="1"/>
  <c r="O337" i="1"/>
  <c r="N337" i="1"/>
  <c r="R336" i="1"/>
  <c r="Q336" i="1"/>
  <c r="P336" i="1"/>
  <c r="O336" i="1"/>
  <c r="N336" i="1"/>
  <c r="R335" i="1"/>
  <c r="Q335" i="1"/>
  <c r="P335" i="1"/>
  <c r="O335" i="1"/>
  <c r="N335" i="1"/>
  <c r="R334" i="1"/>
  <c r="Q334" i="1"/>
  <c r="P334" i="1"/>
  <c r="O334" i="1"/>
  <c r="N334" i="1"/>
  <c r="R333" i="1"/>
  <c r="Q333" i="1"/>
  <c r="P333" i="1"/>
  <c r="O333" i="1"/>
  <c r="N333" i="1"/>
  <c r="R332" i="1"/>
  <c r="Q332" i="1"/>
  <c r="P332" i="1"/>
  <c r="O332" i="1"/>
  <c r="N332" i="1"/>
  <c r="R331" i="1"/>
  <c r="Q331" i="1"/>
  <c r="P331" i="1"/>
  <c r="O331" i="1"/>
  <c r="N331" i="1"/>
  <c r="R330" i="1"/>
  <c r="Q330" i="1"/>
  <c r="P330" i="1"/>
  <c r="O330" i="1"/>
  <c r="N330" i="1"/>
  <c r="R329" i="1"/>
  <c r="Q329" i="1"/>
  <c r="P329" i="1"/>
  <c r="O329" i="1"/>
  <c r="N329" i="1"/>
  <c r="R328" i="1"/>
  <c r="Q328" i="1"/>
  <c r="P328" i="1"/>
  <c r="O328" i="1"/>
  <c r="N328" i="1"/>
  <c r="R327" i="1"/>
  <c r="Q327" i="1"/>
  <c r="P327" i="1"/>
  <c r="O327" i="1"/>
  <c r="N327" i="1"/>
  <c r="R326" i="1"/>
  <c r="Q326" i="1"/>
  <c r="P326" i="1"/>
  <c r="O326" i="1"/>
  <c r="N326" i="1"/>
  <c r="R325" i="1"/>
  <c r="Q325" i="1"/>
  <c r="P325" i="1"/>
  <c r="O325" i="1"/>
  <c r="N325" i="1"/>
  <c r="R324" i="1"/>
  <c r="Q324" i="1"/>
  <c r="P324" i="1"/>
  <c r="O324" i="1"/>
  <c r="N324" i="1"/>
  <c r="R323" i="1"/>
  <c r="Q323" i="1"/>
  <c r="P323" i="1"/>
  <c r="O323" i="1"/>
  <c r="N323" i="1"/>
  <c r="R322" i="1"/>
  <c r="Q322" i="1"/>
  <c r="P322" i="1"/>
  <c r="O322" i="1"/>
  <c r="N322" i="1"/>
  <c r="R321" i="1"/>
  <c r="Q321" i="1"/>
  <c r="P321" i="1"/>
  <c r="O321" i="1"/>
  <c r="N321" i="1"/>
  <c r="R320" i="1"/>
  <c r="Q320" i="1"/>
  <c r="P320" i="1"/>
  <c r="O320" i="1"/>
  <c r="N320" i="1"/>
  <c r="R319" i="1"/>
  <c r="Q319" i="1"/>
  <c r="P319" i="1"/>
  <c r="O319" i="1"/>
  <c r="N319" i="1"/>
  <c r="R318" i="1"/>
  <c r="Q318" i="1"/>
  <c r="P318" i="1"/>
  <c r="O318" i="1"/>
  <c r="N318" i="1"/>
  <c r="R317" i="1"/>
  <c r="Q317" i="1"/>
  <c r="P317" i="1"/>
  <c r="O317" i="1"/>
  <c r="N317" i="1"/>
  <c r="R316" i="1"/>
  <c r="Q316" i="1"/>
  <c r="P316" i="1"/>
  <c r="O316" i="1"/>
  <c r="N316" i="1"/>
  <c r="R315" i="1"/>
  <c r="Q315" i="1"/>
  <c r="P315" i="1"/>
  <c r="O315" i="1"/>
  <c r="N315" i="1"/>
  <c r="R314" i="1"/>
  <c r="Q314" i="1"/>
  <c r="P314" i="1"/>
  <c r="O314" i="1"/>
  <c r="N314" i="1"/>
  <c r="R313" i="1"/>
  <c r="Q313" i="1"/>
  <c r="P313" i="1"/>
  <c r="O313" i="1"/>
  <c r="N313" i="1"/>
  <c r="R312" i="1"/>
  <c r="Q312" i="1"/>
  <c r="P312" i="1"/>
  <c r="O312" i="1"/>
  <c r="N312" i="1"/>
  <c r="R311" i="1"/>
  <c r="Q311" i="1"/>
  <c r="P311" i="1"/>
  <c r="O311" i="1"/>
  <c r="N311" i="1"/>
  <c r="R310" i="1"/>
  <c r="Q310" i="1"/>
  <c r="P310" i="1"/>
  <c r="O310" i="1"/>
  <c r="N310" i="1"/>
  <c r="R309" i="1"/>
  <c r="Q309" i="1"/>
  <c r="P309" i="1"/>
  <c r="O309" i="1"/>
  <c r="N309" i="1"/>
  <c r="R308" i="1"/>
  <c r="Q308" i="1"/>
  <c r="P308" i="1"/>
  <c r="O308" i="1"/>
  <c r="N308" i="1"/>
  <c r="R307" i="1"/>
  <c r="Q307" i="1"/>
  <c r="P307" i="1"/>
  <c r="O307" i="1"/>
  <c r="N307" i="1"/>
  <c r="R306" i="1"/>
  <c r="Q306" i="1"/>
  <c r="P306" i="1"/>
  <c r="O306" i="1"/>
  <c r="N306" i="1"/>
  <c r="R305" i="1"/>
  <c r="Q305" i="1"/>
  <c r="P305" i="1"/>
  <c r="O305" i="1"/>
  <c r="N305" i="1"/>
  <c r="R304" i="1"/>
  <c r="Q304" i="1"/>
  <c r="P304" i="1"/>
  <c r="O304" i="1"/>
  <c r="N304" i="1"/>
  <c r="R303" i="1"/>
  <c r="Q303" i="1"/>
  <c r="P303" i="1"/>
  <c r="O303" i="1"/>
  <c r="N303" i="1"/>
  <c r="R302" i="1"/>
  <c r="Q302" i="1"/>
  <c r="P302" i="1"/>
  <c r="O302" i="1"/>
  <c r="N302" i="1"/>
  <c r="R301" i="1"/>
  <c r="Q301" i="1"/>
  <c r="P301" i="1"/>
  <c r="O301" i="1"/>
  <c r="N301" i="1"/>
  <c r="R300" i="1"/>
  <c r="Q300" i="1"/>
  <c r="P300" i="1"/>
  <c r="O300" i="1"/>
  <c r="N300" i="1"/>
  <c r="R299" i="1"/>
  <c r="Q299" i="1"/>
  <c r="P299" i="1"/>
  <c r="O299" i="1"/>
  <c r="N299" i="1"/>
  <c r="R298" i="1"/>
  <c r="Q298" i="1"/>
  <c r="P298" i="1"/>
  <c r="O298" i="1"/>
  <c r="N298" i="1"/>
  <c r="R297" i="1"/>
  <c r="Q297" i="1"/>
  <c r="P297" i="1"/>
  <c r="O297" i="1"/>
  <c r="N297" i="1"/>
  <c r="R296" i="1"/>
  <c r="Q296" i="1"/>
  <c r="P296" i="1"/>
  <c r="O296" i="1"/>
  <c r="N296" i="1"/>
  <c r="R295" i="1"/>
  <c r="Q295" i="1"/>
  <c r="P295" i="1"/>
  <c r="O295" i="1"/>
  <c r="N295" i="1"/>
  <c r="R294" i="1"/>
  <c r="Q294" i="1"/>
  <c r="P294" i="1"/>
  <c r="O294" i="1"/>
  <c r="N294" i="1"/>
  <c r="R293" i="1"/>
  <c r="Q293" i="1"/>
  <c r="P293" i="1"/>
  <c r="O293" i="1"/>
  <c r="N293" i="1"/>
  <c r="R292" i="1"/>
  <c r="Q292" i="1"/>
  <c r="P292" i="1"/>
  <c r="O292" i="1"/>
  <c r="N292" i="1"/>
  <c r="R291" i="1"/>
  <c r="Q291" i="1"/>
  <c r="P291" i="1"/>
  <c r="O291" i="1"/>
  <c r="N291" i="1"/>
  <c r="R290" i="1"/>
  <c r="Q290" i="1"/>
  <c r="P290" i="1"/>
  <c r="O290" i="1"/>
  <c r="N290" i="1"/>
  <c r="R289" i="1"/>
  <c r="Q289" i="1"/>
  <c r="P289" i="1"/>
  <c r="O289" i="1"/>
  <c r="N289" i="1"/>
  <c r="R288" i="1"/>
  <c r="Q288" i="1"/>
  <c r="P288" i="1"/>
  <c r="O288" i="1"/>
  <c r="N288" i="1"/>
  <c r="R287" i="1"/>
  <c r="Q287" i="1"/>
  <c r="P287" i="1"/>
  <c r="O287" i="1"/>
  <c r="N287" i="1"/>
  <c r="R286" i="1"/>
  <c r="Q286" i="1"/>
  <c r="P286" i="1"/>
  <c r="O286" i="1"/>
  <c r="N286" i="1"/>
  <c r="R285" i="1"/>
  <c r="Q285" i="1"/>
  <c r="P285" i="1"/>
  <c r="O285" i="1"/>
  <c r="N285" i="1"/>
  <c r="R284" i="1"/>
  <c r="Q284" i="1"/>
  <c r="P284" i="1"/>
  <c r="O284" i="1"/>
  <c r="N284" i="1"/>
  <c r="R283" i="1"/>
  <c r="Q283" i="1"/>
  <c r="P283" i="1"/>
  <c r="O283" i="1"/>
  <c r="N283" i="1"/>
  <c r="R282" i="1"/>
  <c r="Q282" i="1"/>
  <c r="P282" i="1"/>
  <c r="O282" i="1"/>
  <c r="N282" i="1"/>
  <c r="R281" i="1"/>
  <c r="Q281" i="1"/>
  <c r="P281" i="1"/>
  <c r="O281" i="1"/>
  <c r="N281" i="1"/>
  <c r="R280" i="1"/>
  <c r="Q280" i="1"/>
  <c r="P280" i="1"/>
  <c r="O280" i="1"/>
  <c r="N280" i="1"/>
  <c r="R279" i="1"/>
  <c r="Q279" i="1"/>
  <c r="P279" i="1"/>
  <c r="O279" i="1"/>
  <c r="N279" i="1"/>
  <c r="R278" i="1"/>
  <c r="Q278" i="1"/>
  <c r="P278" i="1"/>
  <c r="O278" i="1"/>
  <c r="N278" i="1"/>
  <c r="R277" i="1"/>
  <c r="Q277" i="1"/>
  <c r="P277" i="1"/>
  <c r="O277" i="1"/>
  <c r="N277" i="1"/>
  <c r="R276" i="1"/>
  <c r="Q276" i="1"/>
  <c r="P276" i="1"/>
  <c r="O276" i="1"/>
  <c r="N276" i="1"/>
  <c r="R275" i="1"/>
  <c r="Q275" i="1"/>
  <c r="P275" i="1"/>
  <c r="O275" i="1"/>
  <c r="N275" i="1"/>
  <c r="R274" i="1"/>
  <c r="Q274" i="1"/>
  <c r="P274" i="1"/>
  <c r="O274" i="1"/>
  <c r="N274" i="1"/>
  <c r="R273" i="1"/>
  <c r="Q273" i="1"/>
  <c r="P273" i="1"/>
  <c r="O273" i="1"/>
  <c r="N273" i="1"/>
  <c r="R272" i="1"/>
  <c r="Q272" i="1"/>
  <c r="P272" i="1"/>
  <c r="O272" i="1"/>
  <c r="N272" i="1"/>
  <c r="R271" i="1"/>
  <c r="Q271" i="1"/>
  <c r="P271" i="1"/>
  <c r="O271" i="1"/>
  <c r="N271" i="1"/>
  <c r="R270" i="1"/>
  <c r="Q270" i="1"/>
  <c r="P270" i="1"/>
  <c r="O270" i="1"/>
  <c r="N270" i="1"/>
  <c r="R269" i="1"/>
  <c r="Q269" i="1"/>
  <c r="P269" i="1"/>
  <c r="O269" i="1"/>
  <c r="N269" i="1"/>
  <c r="R268" i="1"/>
  <c r="Q268" i="1"/>
  <c r="P268" i="1"/>
  <c r="O268" i="1"/>
  <c r="N268" i="1"/>
  <c r="R267" i="1"/>
  <c r="Q267" i="1"/>
  <c r="P267" i="1"/>
  <c r="O267" i="1"/>
  <c r="N267" i="1"/>
  <c r="R266" i="1"/>
  <c r="Q266" i="1"/>
  <c r="P266" i="1"/>
  <c r="O266" i="1"/>
  <c r="N266" i="1"/>
  <c r="R265" i="1"/>
  <c r="Q265" i="1"/>
  <c r="P265" i="1"/>
  <c r="O265" i="1"/>
  <c r="N265" i="1"/>
  <c r="R264" i="1"/>
  <c r="Q264" i="1"/>
  <c r="P264" i="1"/>
  <c r="O264" i="1"/>
  <c r="N264" i="1"/>
  <c r="R263" i="1"/>
  <c r="Q263" i="1"/>
  <c r="P263" i="1"/>
  <c r="O263" i="1"/>
  <c r="N263" i="1"/>
  <c r="R262" i="1"/>
  <c r="Q262" i="1"/>
  <c r="P262" i="1"/>
  <c r="O262" i="1"/>
  <c r="N262" i="1"/>
  <c r="R261" i="1"/>
  <c r="Q261" i="1"/>
  <c r="P261" i="1"/>
  <c r="O261" i="1"/>
  <c r="N261" i="1"/>
  <c r="R260" i="1"/>
  <c r="Q260" i="1"/>
  <c r="P260" i="1"/>
  <c r="O260" i="1"/>
  <c r="N260" i="1"/>
  <c r="R259" i="1"/>
  <c r="Q259" i="1"/>
  <c r="P259" i="1"/>
  <c r="O259" i="1"/>
  <c r="N259" i="1"/>
  <c r="R258" i="1"/>
  <c r="Q258" i="1"/>
  <c r="P258" i="1"/>
  <c r="O258" i="1"/>
  <c r="N258" i="1"/>
  <c r="R257" i="1"/>
  <c r="Q257" i="1"/>
  <c r="P257" i="1"/>
  <c r="O257" i="1"/>
  <c r="N257" i="1"/>
  <c r="R256" i="1"/>
  <c r="Q256" i="1"/>
  <c r="P256" i="1"/>
  <c r="O256" i="1"/>
  <c r="N256" i="1"/>
  <c r="R255" i="1"/>
  <c r="Q255" i="1"/>
  <c r="P255" i="1"/>
  <c r="O255" i="1"/>
  <c r="N255" i="1"/>
  <c r="R254" i="1"/>
  <c r="Q254" i="1"/>
  <c r="P254" i="1"/>
  <c r="O254" i="1"/>
  <c r="N254" i="1"/>
  <c r="R253" i="1"/>
  <c r="Q253" i="1"/>
  <c r="P253" i="1"/>
  <c r="O253" i="1"/>
  <c r="N253" i="1"/>
  <c r="R252" i="1"/>
  <c r="Q252" i="1"/>
  <c r="P252" i="1"/>
  <c r="O252" i="1"/>
  <c r="N252" i="1"/>
  <c r="R251" i="1"/>
  <c r="Q251" i="1"/>
  <c r="P251" i="1"/>
  <c r="O251" i="1"/>
  <c r="N251" i="1"/>
  <c r="R250" i="1"/>
  <c r="Q250" i="1"/>
  <c r="P250" i="1"/>
  <c r="O250" i="1"/>
  <c r="N250" i="1"/>
  <c r="R249" i="1"/>
  <c r="Q249" i="1"/>
  <c r="P249" i="1"/>
  <c r="O249" i="1"/>
  <c r="N249" i="1"/>
  <c r="R248" i="1"/>
  <c r="Q248" i="1"/>
  <c r="P248" i="1"/>
  <c r="O248" i="1"/>
  <c r="N248" i="1"/>
  <c r="R247" i="1"/>
  <c r="Q247" i="1"/>
  <c r="P247" i="1"/>
  <c r="O247" i="1"/>
  <c r="N247" i="1"/>
  <c r="R246" i="1"/>
  <c r="Q246" i="1"/>
  <c r="P246" i="1"/>
  <c r="O246" i="1"/>
  <c r="N246" i="1"/>
  <c r="R245" i="1"/>
  <c r="Q245" i="1"/>
  <c r="P245" i="1"/>
  <c r="O245" i="1"/>
  <c r="N245" i="1"/>
  <c r="R244" i="1"/>
  <c r="Q244" i="1"/>
  <c r="P244" i="1"/>
  <c r="O244" i="1"/>
  <c r="N244" i="1"/>
  <c r="R243" i="1"/>
  <c r="Q243" i="1"/>
  <c r="P243" i="1"/>
  <c r="O243" i="1"/>
  <c r="N243" i="1"/>
  <c r="R242" i="1"/>
  <c r="Q242" i="1"/>
  <c r="P242" i="1"/>
  <c r="O242" i="1"/>
  <c r="N242" i="1"/>
  <c r="R241" i="1"/>
  <c r="Q241" i="1"/>
  <c r="P241" i="1"/>
  <c r="O241" i="1"/>
  <c r="N241" i="1"/>
  <c r="R240" i="1"/>
  <c r="Q240" i="1"/>
  <c r="P240" i="1"/>
  <c r="O240" i="1"/>
  <c r="N240" i="1"/>
  <c r="R239" i="1"/>
  <c r="Q239" i="1"/>
  <c r="P239" i="1"/>
  <c r="O239" i="1"/>
  <c r="N239" i="1"/>
  <c r="R238" i="1"/>
  <c r="Q238" i="1"/>
  <c r="P238" i="1"/>
  <c r="O238" i="1"/>
  <c r="N238" i="1"/>
  <c r="R237" i="1"/>
  <c r="Q237" i="1"/>
  <c r="P237" i="1"/>
  <c r="O237" i="1"/>
  <c r="N237" i="1"/>
  <c r="R236" i="1"/>
  <c r="Q236" i="1"/>
  <c r="P236" i="1"/>
  <c r="O236" i="1"/>
  <c r="N236" i="1"/>
  <c r="R235" i="1"/>
  <c r="Q235" i="1"/>
  <c r="P235" i="1"/>
  <c r="O235" i="1"/>
  <c r="N235" i="1"/>
  <c r="R234" i="1"/>
  <c r="Q234" i="1"/>
  <c r="P234" i="1"/>
  <c r="O234" i="1"/>
  <c r="N234" i="1"/>
  <c r="R233" i="1"/>
  <c r="Q233" i="1"/>
  <c r="P233" i="1"/>
  <c r="O233" i="1"/>
  <c r="N233" i="1"/>
  <c r="R232" i="1"/>
  <c r="Q232" i="1"/>
  <c r="P232" i="1"/>
  <c r="O232" i="1"/>
  <c r="N232" i="1"/>
  <c r="R231" i="1"/>
  <c r="Q231" i="1"/>
  <c r="P231" i="1"/>
  <c r="O231" i="1"/>
  <c r="N231" i="1"/>
  <c r="R230" i="1"/>
  <c r="Q230" i="1"/>
  <c r="P230" i="1"/>
  <c r="O230" i="1"/>
  <c r="N230" i="1"/>
  <c r="R229" i="1"/>
  <c r="Q229" i="1"/>
  <c r="P229" i="1"/>
  <c r="O229" i="1"/>
  <c r="N229" i="1"/>
  <c r="R228" i="1"/>
  <c r="Q228" i="1"/>
  <c r="P228" i="1"/>
  <c r="O228" i="1"/>
  <c r="N228" i="1"/>
  <c r="R227" i="1"/>
  <c r="Q227" i="1"/>
  <c r="P227" i="1"/>
  <c r="O227" i="1"/>
  <c r="N227" i="1"/>
  <c r="R226" i="1"/>
  <c r="Q226" i="1"/>
  <c r="P226" i="1"/>
  <c r="O226" i="1"/>
  <c r="N226" i="1"/>
  <c r="R225" i="1"/>
  <c r="Q225" i="1"/>
  <c r="P225" i="1"/>
  <c r="O225" i="1"/>
  <c r="N225" i="1"/>
  <c r="R224" i="1"/>
  <c r="Q224" i="1"/>
  <c r="P224" i="1"/>
  <c r="O224" i="1"/>
  <c r="N224" i="1"/>
  <c r="R223" i="1"/>
  <c r="Q223" i="1"/>
  <c r="P223" i="1"/>
  <c r="O223" i="1"/>
  <c r="N223" i="1"/>
  <c r="R222" i="1"/>
  <c r="Q222" i="1"/>
  <c r="P222" i="1"/>
  <c r="O222" i="1"/>
  <c r="N222" i="1"/>
  <c r="R221" i="1"/>
  <c r="Q221" i="1"/>
  <c r="P221" i="1"/>
  <c r="O221" i="1"/>
  <c r="N221" i="1"/>
  <c r="R220" i="1"/>
  <c r="Q220" i="1"/>
  <c r="P220" i="1"/>
  <c r="O220" i="1"/>
  <c r="N220" i="1"/>
  <c r="R219" i="1"/>
  <c r="Q219" i="1"/>
  <c r="P219" i="1"/>
  <c r="O219" i="1"/>
  <c r="N219" i="1"/>
  <c r="R218" i="1"/>
  <c r="Q218" i="1"/>
  <c r="P218" i="1"/>
  <c r="O218" i="1"/>
  <c r="N218" i="1"/>
  <c r="R217" i="1"/>
  <c r="Q217" i="1"/>
  <c r="P217" i="1"/>
  <c r="O217" i="1"/>
  <c r="N217" i="1"/>
  <c r="R216" i="1"/>
  <c r="Q216" i="1"/>
  <c r="P216" i="1"/>
  <c r="O216" i="1"/>
  <c r="N216" i="1"/>
  <c r="R215" i="1"/>
  <c r="Q215" i="1"/>
  <c r="P215" i="1"/>
  <c r="O215" i="1"/>
  <c r="N215" i="1"/>
  <c r="R214" i="1"/>
  <c r="Q214" i="1"/>
  <c r="P214" i="1"/>
  <c r="O214" i="1"/>
  <c r="N214" i="1"/>
  <c r="R213" i="1"/>
  <c r="Q213" i="1"/>
  <c r="P213" i="1"/>
  <c r="O213" i="1"/>
  <c r="N213" i="1"/>
  <c r="R212" i="1"/>
  <c r="Q212" i="1"/>
  <c r="P212" i="1"/>
  <c r="O212" i="1"/>
  <c r="N212" i="1"/>
  <c r="R211" i="1"/>
  <c r="Q211" i="1"/>
  <c r="P211" i="1"/>
  <c r="O211" i="1"/>
  <c r="N211" i="1"/>
  <c r="R210" i="1"/>
  <c r="Q210" i="1"/>
  <c r="P210" i="1"/>
  <c r="O210" i="1"/>
  <c r="N210" i="1"/>
  <c r="R209" i="1"/>
  <c r="Q209" i="1"/>
  <c r="P209" i="1"/>
  <c r="O209" i="1"/>
  <c r="N209" i="1"/>
  <c r="R208" i="1"/>
  <c r="Q208" i="1"/>
  <c r="P208" i="1"/>
  <c r="O208" i="1"/>
  <c r="N208" i="1"/>
  <c r="R207" i="1"/>
  <c r="Q207" i="1"/>
  <c r="P207" i="1"/>
  <c r="O207" i="1"/>
  <c r="N207" i="1"/>
  <c r="R206" i="1"/>
  <c r="Q206" i="1"/>
  <c r="P206" i="1"/>
  <c r="O206" i="1"/>
  <c r="N206" i="1"/>
  <c r="R205" i="1"/>
  <c r="Q205" i="1"/>
  <c r="P205" i="1"/>
  <c r="O205" i="1"/>
  <c r="N205" i="1"/>
  <c r="R204" i="1"/>
  <c r="Q204" i="1"/>
  <c r="P204" i="1"/>
  <c r="O204" i="1"/>
  <c r="N204" i="1"/>
  <c r="R203" i="1"/>
  <c r="Q203" i="1"/>
  <c r="P203" i="1"/>
  <c r="O203" i="1"/>
  <c r="N203" i="1"/>
  <c r="R202" i="1"/>
  <c r="Q202" i="1"/>
  <c r="P202" i="1"/>
  <c r="O202" i="1"/>
  <c r="N202" i="1"/>
  <c r="R201" i="1"/>
  <c r="Q201" i="1"/>
  <c r="P201" i="1"/>
  <c r="O201" i="1"/>
  <c r="N201" i="1"/>
  <c r="R200" i="1"/>
  <c r="Q200" i="1"/>
  <c r="P200" i="1"/>
  <c r="O200" i="1"/>
  <c r="N200" i="1"/>
  <c r="R199" i="1"/>
  <c r="Q199" i="1"/>
  <c r="P199" i="1"/>
  <c r="O199" i="1"/>
  <c r="N199" i="1"/>
  <c r="R198" i="1"/>
  <c r="Q198" i="1"/>
  <c r="P198" i="1"/>
  <c r="O198" i="1"/>
  <c r="N198" i="1"/>
  <c r="R197" i="1"/>
  <c r="Q197" i="1"/>
  <c r="P197" i="1"/>
  <c r="O197" i="1"/>
  <c r="N197" i="1"/>
  <c r="R196" i="1"/>
  <c r="Q196" i="1"/>
  <c r="P196" i="1"/>
  <c r="O196" i="1"/>
  <c r="N196" i="1"/>
  <c r="R195" i="1"/>
  <c r="Q195" i="1"/>
  <c r="P195" i="1"/>
  <c r="O195" i="1"/>
  <c r="N195" i="1"/>
  <c r="R194" i="1"/>
  <c r="Q194" i="1"/>
  <c r="P194" i="1"/>
  <c r="O194" i="1"/>
  <c r="N194" i="1"/>
  <c r="R193" i="1"/>
  <c r="Q193" i="1"/>
  <c r="P193" i="1"/>
  <c r="O193" i="1"/>
  <c r="N193" i="1"/>
  <c r="R192" i="1"/>
  <c r="Q192" i="1"/>
  <c r="P192" i="1"/>
  <c r="O192" i="1"/>
  <c r="N192" i="1"/>
  <c r="R191" i="1"/>
  <c r="Q191" i="1"/>
  <c r="P191" i="1"/>
  <c r="O191" i="1"/>
  <c r="N191" i="1"/>
  <c r="R190" i="1"/>
  <c r="Q190" i="1"/>
  <c r="P190" i="1"/>
  <c r="O190" i="1"/>
  <c r="N190" i="1"/>
  <c r="R189" i="1"/>
  <c r="Q189" i="1"/>
  <c r="P189" i="1"/>
  <c r="O189" i="1"/>
  <c r="N189" i="1"/>
  <c r="R188" i="1"/>
  <c r="Q188" i="1"/>
  <c r="P188" i="1"/>
  <c r="O188" i="1"/>
  <c r="N188" i="1"/>
  <c r="R187" i="1"/>
  <c r="Q187" i="1"/>
  <c r="P187" i="1"/>
  <c r="O187" i="1"/>
  <c r="N187" i="1"/>
  <c r="R186" i="1"/>
  <c r="Q186" i="1"/>
  <c r="P186" i="1"/>
  <c r="O186" i="1"/>
  <c r="N186" i="1"/>
  <c r="R185" i="1"/>
  <c r="Q185" i="1"/>
  <c r="P185" i="1"/>
  <c r="O185" i="1"/>
  <c r="N185" i="1"/>
  <c r="R184" i="1"/>
  <c r="Q184" i="1"/>
  <c r="P184" i="1"/>
  <c r="O184" i="1"/>
  <c r="N184" i="1"/>
  <c r="R183" i="1"/>
  <c r="Q183" i="1"/>
  <c r="P183" i="1"/>
  <c r="O183" i="1"/>
  <c r="N183" i="1"/>
  <c r="R182" i="1"/>
  <c r="Q182" i="1"/>
  <c r="P182" i="1"/>
  <c r="O182" i="1"/>
  <c r="N182" i="1"/>
  <c r="R181" i="1"/>
  <c r="Q181" i="1"/>
  <c r="P181" i="1"/>
  <c r="O181" i="1"/>
  <c r="N181" i="1"/>
  <c r="R180" i="1"/>
  <c r="Q180" i="1"/>
  <c r="P180" i="1"/>
  <c r="O180" i="1"/>
  <c r="N180" i="1"/>
  <c r="R179" i="1"/>
  <c r="Q179" i="1"/>
  <c r="P179" i="1"/>
  <c r="O179" i="1"/>
  <c r="N179" i="1"/>
  <c r="R178" i="1"/>
  <c r="Q178" i="1"/>
  <c r="P178" i="1"/>
  <c r="O178" i="1"/>
  <c r="N178" i="1"/>
  <c r="R177" i="1"/>
  <c r="Q177" i="1"/>
  <c r="P177" i="1"/>
  <c r="O177" i="1"/>
  <c r="N177" i="1"/>
  <c r="R176" i="1"/>
  <c r="Q176" i="1"/>
  <c r="P176" i="1"/>
  <c r="O176" i="1"/>
  <c r="N176" i="1"/>
  <c r="R175" i="1"/>
  <c r="Q175" i="1"/>
  <c r="P175" i="1"/>
  <c r="O175" i="1"/>
  <c r="N175" i="1"/>
  <c r="R174" i="1"/>
  <c r="Q174" i="1"/>
  <c r="P174" i="1"/>
  <c r="O174" i="1"/>
  <c r="N174" i="1"/>
  <c r="R173" i="1"/>
  <c r="Q173" i="1"/>
  <c r="P173" i="1"/>
  <c r="O173" i="1"/>
  <c r="N173" i="1"/>
  <c r="R172" i="1"/>
  <c r="Q172" i="1"/>
  <c r="P172" i="1"/>
  <c r="O172" i="1"/>
  <c r="N172" i="1"/>
  <c r="R171" i="1"/>
  <c r="Q171" i="1"/>
  <c r="P171" i="1"/>
  <c r="O171" i="1"/>
  <c r="N171" i="1"/>
  <c r="R170" i="1"/>
  <c r="Q170" i="1"/>
  <c r="P170" i="1"/>
  <c r="O170" i="1"/>
  <c r="N170" i="1"/>
  <c r="R169" i="1"/>
  <c r="Q169" i="1"/>
  <c r="P169" i="1"/>
  <c r="O169" i="1"/>
  <c r="N169" i="1"/>
  <c r="R168" i="1"/>
  <c r="Q168" i="1"/>
  <c r="P168" i="1"/>
  <c r="O168" i="1"/>
  <c r="N168" i="1"/>
  <c r="R167" i="1"/>
  <c r="Q167" i="1"/>
  <c r="P167" i="1"/>
  <c r="O167" i="1"/>
  <c r="N167" i="1"/>
  <c r="R166" i="1"/>
  <c r="Q166" i="1"/>
  <c r="P166" i="1"/>
  <c r="O166" i="1"/>
  <c r="N166" i="1"/>
  <c r="R165" i="1"/>
  <c r="Q165" i="1"/>
  <c r="P165" i="1"/>
  <c r="O165" i="1"/>
  <c r="N165" i="1"/>
  <c r="R164" i="1"/>
  <c r="Q164" i="1"/>
  <c r="P164" i="1"/>
  <c r="O164" i="1"/>
  <c r="N164" i="1"/>
  <c r="R163" i="1"/>
  <c r="Q163" i="1"/>
  <c r="P163" i="1"/>
  <c r="O163" i="1"/>
  <c r="N163" i="1"/>
  <c r="R162" i="1"/>
  <c r="Q162" i="1"/>
  <c r="P162" i="1"/>
  <c r="O162" i="1"/>
  <c r="N162" i="1"/>
  <c r="R161" i="1"/>
  <c r="Q161" i="1"/>
  <c r="P161" i="1"/>
  <c r="O161" i="1"/>
  <c r="N161" i="1"/>
  <c r="R160" i="1"/>
  <c r="Q160" i="1"/>
  <c r="P160" i="1"/>
  <c r="O160" i="1"/>
  <c r="N160" i="1"/>
  <c r="R159" i="1"/>
  <c r="Q159" i="1"/>
  <c r="P159" i="1"/>
  <c r="O159" i="1"/>
  <c r="N159" i="1"/>
  <c r="R158" i="1"/>
  <c r="Q158" i="1"/>
  <c r="P158" i="1"/>
  <c r="O158" i="1"/>
  <c r="N158" i="1"/>
  <c r="R157" i="1"/>
  <c r="Q157" i="1"/>
  <c r="P157" i="1"/>
  <c r="O157" i="1"/>
  <c r="N157" i="1"/>
  <c r="R156" i="1"/>
  <c r="Q156" i="1"/>
  <c r="P156" i="1"/>
  <c r="O156" i="1"/>
  <c r="N156" i="1"/>
  <c r="R155" i="1"/>
  <c r="Q155" i="1"/>
  <c r="P155" i="1"/>
  <c r="O155" i="1"/>
  <c r="N155" i="1"/>
  <c r="R154" i="1"/>
  <c r="Q154" i="1"/>
  <c r="P154" i="1"/>
  <c r="O154" i="1"/>
  <c r="N154" i="1"/>
  <c r="R153" i="1"/>
  <c r="Q153" i="1"/>
  <c r="P153" i="1"/>
  <c r="O153" i="1"/>
  <c r="N153" i="1"/>
  <c r="R152" i="1"/>
  <c r="Q152" i="1"/>
  <c r="P152" i="1"/>
  <c r="O152" i="1"/>
  <c r="N152" i="1"/>
  <c r="R151" i="1"/>
  <c r="Q151" i="1"/>
  <c r="P151" i="1"/>
  <c r="O151" i="1"/>
  <c r="N151" i="1"/>
  <c r="R150" i="1"/>
  <c r="Q150" i="1"/>
  <c r="P150" i="1"/>
  <c r="O150" i="1"/>
  <c r="N150" i="1"/>
  <c r="R149" i="1"/>
  <c r="Q149" i="1"/>
  <c r="P149" i="1"/>
  <c r="O149" i="1"/>
  <c r="N149" i="1"/>
  <c r="R148" i="1"/>
  <c r="Q148" i="1"/>
  <c r="P148" i="1"/>
  <c r="O148" i="1"/>
  <c r="N148" i="1"/>
  <c r="R147" i="1"/>
  <c r="Q147" i="1"/>
  <c r="P147" i="1"/>
  <c r="O147" i="1"/>
  <c r="N147" i="1"/>
  <c r="R146" i="1"/>
  <c r="Q146" i="1"/>
  <c r="P146" i="1"/>
  <c r="O146" i="1"/>
  <c r="N146" i="1"/>
  <c r="R145" i="1"/>
  <c r="Q145" i="1"/>
  <c r="P145" i="1"/>
  <c r="O145" i="1"/>
  <c r="N145" i="1"/>
  <c r="R144" i="1"/>
  <c r="Q144" i="1"/>
  <c r="P144" i="1"/>
  <c r="O144" i="1"/>
  <c r="N144" i="1"/>
  <c r="R143" i="1"/>
  <c r="Q143" i="1"/>
  <c r="P143" i="1"/>
  <c r="O143" i="1"/>
  <c r="N143" i="1"/>
  <c r="R142" i="1"/>
  <c r="Q142" i="1"/>
  <c r="P142" i="1"/>
  <c r="O142" i="1"/>
  <c r="N142" i="1"/>
  <c r="R141" i="1"/>
  <c r="Q141" i="1"/>
  <c r="P141" i="1"/>
  <c r="O141" i="1"/>
  <c r="N141" i="1"/>
  <c r="R140" i="1"/>
  <c r="Q140" i="1"/>
  <c r="P140" i="1"/>
  <c r="O140" i="1"/>
  <c r="N140" i="1"/>
  <c r="R139" i="1"/>
  <c r="Q139" i="1"/>
  <c r="P139" i="1"/>
  <c r="O139" i="1"/>
  <c r="N139" i="1"/>
  <c r="R138" i="1"/>
  <c r="Q138" i="1"/>
  <c r="P138" i="1"/>
  <c r="O138" i="1"/>
  <c r="N138" i="1"/>
  <c r="R137" i="1"/>
  <c r="Q137" i="1"/>
  <c r="P137" i="1"/>
  <c r="O137" i="1"/>
  <c r="N137" i="1"/>
  <c r="R136" i="1"/>
  <c r="Q136" i="1"/>
  <c r="P136" i="1"/>
  <c r="O136" i="1"/>
  <c r="N136" i="1"/>
  <c r="R135" i="1"/>
  <c r="Q135" i="1"/>
  <c r="P135" i="1"/>
  <c r="O135" i="1"/>
  <c r="N135" i="1"/>
  <c r="R134" i="1"/>
  <c r="Q134" i="1"/>
  <c r="P134" i="1"/>
  <c r="O134" i="1"/>
  <c r="N134" i="1"/>
  <c r="R133" i="1"/>
  <c r="Q133" i="1"/>
  <c r="P133" i="1"/>
  <c r="O133" i="1"/>
  <c r="N133" i="1"/>
  <c r="R132" i="1"/>
  <c r="Q132" i="1"/>
  <c r="P132" i="1"/>
  <c r="O132" i="1"/>
  <c r="N132" i="1"/>
  <c r="R131" i="1"/>
  <c r="Q131" i="1"/>
  <c r="P131" i="1"/>
  <c r="O131" i="1"/>
  <c r="N131" i="1"/>
  <c r="R130" i="1"/>
  <c r="Q130" i="1"/>
  <c r="P130" i="1"/>
  <c r="O130" i="1"/>
  <c r="N130" i="1"/>
  <c r="R129" i="1"/>
  <c r="Q129" i="1"/>
  <c r="P129" i="1"/>
  <c r="O129" i="1"/>
  <c r="N129" i="1"/>
  <c r="R128" i="1"/>
  <c r="Q128" i="1"/>
  <c r="P128" i="1"/>
  <c r="O128" i="1"/>
  <c r="N128" i="1"/>
  <c r="R127" i="1"/>
  <c r="Q127" i="1"/>
  <c r="P127" i="1"/>
  <c r="O127" i="1"/>
  <c r="N127" i="1"/>
  <c r="R126" i="1"/>
  <c r="Q126" i="1"/>
  <c r="P126" i="1"/>
  <c r="O126" i="1"/>
  <c r="N126" i="1"/>
  <c r="R125" i="1"/>
  <c r="Q125" i="1"/>
  <c r="P125" i="1"/>
  <c r="O125" i="1"/>
  <c r="N125" i="1"/>
  <c r="R124" i="1"/>
  <c r="Q124" i="1"/>
  <c r="P124" i="1"/>
  <c r="O124" i="1"/>
  <c r="N124" i="1"/>
  <c r="R123" i="1"/>
  <c r="Q123" i="1"/>
  <c r="P123" i="1"/>
  <c r="O123" i="1"/>
  <c r="N123" i="1"/>
  <c r="R122" i="1"/>
  <c r="Q122" i="1"/>
  <c r="P122" i="1"/>
  <c r="O122" i="1"/>
  <c r="N122" i="1"/>
  <c r="R121" i="1"/>
  <c r="Q121" i="1"/>
  <c r="P121" i="1"/>
  <c r="O121" i="1"/>
  <c r="N121" i="1"/>
  <c r="R120" i="1"/>
  <c r="Q120" i="1"/>
  <c r="P120" i="1"/>
  <c r="O120" i="1"/>
  <c r="N120" i="1"/>
  <c r="R119" i="1"/>
  <c r="Q119" i="1"/>
  <c r="P119" i="1"/>
  <c r="O119" i="1"/>
  <c r="N119" i="1"/>
  <c r="R118" i="1"/>
  <c r="Q118" i="1"/>
  <c r="P118" i="1"/>
  <c r="O118" i="1"/>
  <c r="N118" i="1"/>
  <c r="R117" i="1"/>
  <c r="Q117" i="1"/>
  <c r="P117" i="1"/>
  <c r="O117" i="1"/>
  <c r="N117" i="1"/>
  <c r="R116" i="1"/>
  <c r="Q116" i="1"/>
  <c r="P116" i="1"/>
  <c r="O116" i="1"/>
  <c r="N116" i="1"/>
  <c r="R115" i="1"/>
  <c r="Q115" i="1"/>
  <c r="P115" i="1"/>
  <c r="O115" i="1"/>
  <c r="N115" i="1"/>
  <c r="R114" i="1"/>
  <c r="Q114" i="1"/>
  <c r="P114" i="1"/>
  <c r="O114" i="1"/>
  <c r="N114" i="1"/>
  <c r="R113" i="1"/>
  <c r="Q113" i="1"/>
  <c r="P113" i="1"/>
  <c r="O113" i="1"/>
  <c r="N113" i="1"/>
  <c r="R112" i="1"/>
  <c r="Q112" i="1"/>
  <c r="P112" i="1"/>
  <c r="O112" i="1"/>
  <c r="N112" i="1"/>
  <c r="R111" i="1"/>
  <c r="Q111" i="1"/>
  <c r="P111" i="1"/>
  <c r="O111" i="1"/>
  <c r="N111" i="1"/>
  <c r="R110" i="1"/>
  <c r="Q110" i="1"/>
  <c r="P110" i="1"/>
  <c r="O110" i="1"/>
  <c r="N110" i="1"/>
  <c r="R109" i="1"/>
  <c r="Q109" i="1"/>
  <c r="P109" i="1"/>
  <c r="O109" i="1"/>
  <c r="N109" i="1"/>
  <c r="R108" i="1"/>
  <c r="Q108" i="1"/>
  <c r="P108" i="1"/>
  <c r="O108" i="1"/>
  <c r="N108" i="1"/>
  <c r="R107" i="1"/>
  <c r="Q107" i="1"/>
  <c r="P107" i="1"/>
  <c r="O107" i="1"/>
  <c r="N107" i="1"/>
  <c r="R106" i="1"/>
  <c r="Q106" i="1"/>
  <c r="P106" i="1"/>
  <c r="O106" i="1"/>
  <c r="N106" i="1"/>
  <c r="R105" i="1"/>
  <c r="Q105" i="1"/>
  <c r="P105" i="1"/>
  <c r="O105" i="1"/>
  <c r="N105" i="1"/>
  <c r="R104" i="1"/>
  <c r="Q104" i="1"/>
  <c r="P104" i="1"/>
  <c r="O104" i="1"/>
  <c r="N104" i="1"/>
  <c r="R103" i="1"/>
  <c r="Q103" i="1"/>
  <c r="P103" i="1"/>
  <c r="O103" i="1"/>
  <c r="N103" i="1"/>
  <c r="R102" i="1"/>
  <c r="Q102" i="1"/>
  <c r="P102" i="1"/>
  <c r="O102" i="1"/>
  <c r="N102" i="1"/>
  <c r="R101" i="1"/>
  <c r="Q101" i="1"/>
  <c r="P101" i="1"/>
  <c r="O101" i="1"/>
  <c r="N101" i="1"/>
  <c r="R100" i="1"/>
  <c r="Q100" i="1"/>
  <c r="P100" i="1"/>
  <c r="O100" i="1"/>
  <c r="N100" i="1"/>
  <c r="R99" i="1"/>
  <c r="Q99" i="1"/>
  <c r="P99" i="1"/>
  <c r="O99" i="1"/>
  <c r="N99" i="1"/>
  <c r="R98" i="1"/>
  <c r="Q98" i="1"/>
  <c r="P98" i="1"/>
  <c r="O98" i="1"/>
  <c r="N98" i="1"/>
  <c r="R97" i="1"/>
  <c r="Q97" i="1"/>
  <c r="P97" i="1"/>
  <c r="O97" i="1"/>
  <c r="N97" i="1"/>
  <c r="R96" i="1"/>
  <c r="Q96" i="1"/>
  <c r="P96" i="1"/>
  <c r="O96" i="1"/>
  <c r="N96" i="1"/>
  <c r="R95" i="1"/>
  <c r="Q95" i="1"/>
  <c r="P95" i="1"/>
  <c r="O95" i="1"/>
  <c r="N95" i="1"/>
  <c r="R94" i="1"/>
  <c r="Q94" i="1"/>
  <c r="P94" i="1"/>
  <c r="O94" i="1"/>
  <c r="N94" i="1"/>
  <c r="R93" i="1"/>
  <c r="Q93" i="1"/>
  <c r="P93" i="1"/>
  <c r="O93" i="1"/>
  <c r="N93" i="1"/>
  <c r="R92" i="1"/>
  <c r="Q92" i="1"/>
  <c r="P92" i="1"/>
  <c r="O92" i="1"/>
  <c r="N92" i="1"/>
  <c r="R91" i="1"/>
  <c r="Q91" i="1"/>
  <c r="P91" i="1"/>
  <c r="O91" i="1"/>
  <c r="N91" i="1"/>
  <c r="R90" i="1"/>
  <c r="Q90" i="1"/>
  <c r="P90" i="1"/>
  <c r="O90" i="1"/>
  <c r="N90" i="1"/>
  <c r="R89" i="1"/>
  <c r="Q89" i="1"/>
  <c r="P89" i="1"/>
  <c r="O89" i="1"/>
  <c r="N89" i="1"/>
  <c r="R88" i="1"/>
  <c r="Q88" i="1"/>
  <c r="P88" i="1"/>
  <c r="O88" i="1"/>
  <c r="N88" i="1"/>
  <c r="R87" i="1"/>
  <c r="Q87" i="1"/>
  <c r="P87" i="1"/>
  <c r="O87" i="1"/>
  <c r="N87" i="1"/>
  <c r="R86" i="1"/>
  <c r="Q86" i="1"/>
  <c r="P86" i="1"/>
  <c r="O86" i="1"/>
  <c r="N86" i="1"/>
  <c r="R85" i="1"/>
  <c r="Q85" i="1"/>
  <c r="P85" i="1"/>
  <c r="O85" i="1"/>
  <c r="N85" i="1"/>
  <c r="R84" i="1"/>
  <c r="Q84" i="1"/>
  <c r="P84" i="1"/>
  <c r="O84" i="1"/>
  <c r="N84" i="1"/>
  <c r="R83" i="1"/>
  <c r="Q83" i="1"/>
  <c r="P83" i="1"/>
  <c r="O83" i="1"/>
  <c r="N83" i="1"/>
  <c r="R82" i="1"/>
  <c r="Q82" i="1"/>
  <c r="P82" i="1"/>
  <c r="O82" i="1"/>
  <c r="N82" i="1"/>
  <c r="R81" i="1"/>
  <c r="Q81" i="1"/>
  <c r="P81" i="1"/>
  <c r="O81" i="1"/>
  <c r="N81" i="1"/>
  <c r="R80" i="1"/>
  <c r="Q80" i="1"/>
  <c r="P80" i="1"/>
  <c r="O80" i="1"/>
  <c r="N80" i="1"/>
  <c r="R79" i="1"/>
  <c r="Q79" i="1"/>
  <c r="P79" i="1"/>
  <c r="O79" i="1"/>
  <c r="N79" i="1"/>
  <c r="R78" i="1"/>
  <c r="Q78" i="1"/>
  <c r="P78" i="1"/>
  <c r="O78" i="1"/>
  <c r="N78" i="1"/>
  <c r="R77" i="1"/>
  <c r="Q77" i="1"/>
  <c r="P77" i="1"/>
  <c r="O77" i="1"/>
  <c r="N77" i="1"/>
  <c r="R76" i="1"/>
  <c r="Q76" i="1"/>
  <c r="P76" i="1"/>
  <c r="O76" i="1"/>
  <c r="N76" i="1"/>
  <c r="R75" i="1"/>
  <c r="Q75" i="1"/>
  <c r="P75" i="1"/>
  <c r="O75" i="1"/>
  <c r="N75" i="1"/>
  <c r="R74" i="1"/>
  <c r="Q74" i="1"/>
  <c r="P74" i="1"/>
  <c r="O74" i="1"/>
  <c r="N74" i="1"/>
  <c r="R73" i="1"/>
  <c r="Q73" i="1"/>
  <c r="P73" i="1"/>
  <c r="O73" i="1"/>
  <c r="N73" i="1"/>
  <c r="R72" i="1"/>
  <c r="Q72" i="1"/>
  <c r="P72" i="1"/>
  <c r="O72" i="1"/>
  <c r="N72" i="1"/>
  <c r="R71" i="1"/>
  <c r="Q71" i="1"/>
  <c r="P71" i="1"/>
  <c r="O71" i="1"/>
  <c r="N71" i="1"/>
  <c r="R70" i="1"/>
  <c r="Q70" i="1"/>
  <c r="P70" i="1"/>
  <c r="O70" i="1"/>
  <c r="N70" i="1"/>
  <c r="R69" i="1"/>
  <c r="Q69" i="1"/>
  <c r="P69" i="1"/>
  <c r="O69" i="1"/>
  <c r="N69" i="1"/>
  <c r="R68" i="1"/>
  <c r="Q68" i="1"/>
  <c r="P68" i="1"/>
  <c r="O68" i="1"/>
  <c r="N68" i="1"/>
  <c r="R67" i="1"/>
  <c r="Q67" i="1"/>
  <c r="P67" i="1"/>
  <c r="O67" i="1"/>
  <c r="N67" i="1"/>
  <c r="R66" i="1"/>
  <c r="Q66" i="1"/>
  <c r="P66" i="1"/>
  <c r="O66" i="1"/>
  <c r="N66" i="1"/>
  <c r="R65" i="1"/>
  <c r="Q65" i="1"/>
  <c r="P65" i="1"/>
  <c r="O65" i="1"/>
  <c r="N65" i="1"/>
  <c r="R64" i="1"/>
  <c r="Q64" i="1"/>
  <c r="P64" i="1"/>
  <c r="O64" i="1"/>
  <c r="N64" i="1"/>
  <c r="R63" i="1"/>
  <c r="Q63" i="1"/>
  <c r="P63" i="1"/>
  <c r="O63" i="1"/>
  <c r="N63" i="1"/>
  <c r="R62" i="1"/>
  <c r="Q62" i="1"/>
  <c r="P62" i="1"/>
  <c r="O62" i="1"/>
  <c r="N62" i="1"/>
  <c r="R61" i="1"/>
  <c r="Q61" i="1"/>
  <c r="P61" i="1"/>
  <c r="O61" i="1"/>
  <c r="N61" i="1"/>
  <c r="R60" i="1"/>
  <c r="Q60" i="1"/>
  <c r="P60" i="1"/>
  <c r="O60" i="1"/>
  <c r="N60" i="1"/>
  <c r="R59" i="1"/>
  <c r="Q59" i="1"/>
  <c r="P59" i="1"/>
  <c r="O59" i="1"/>
  <c r="N59" i="1"/>
  <c r="R58" i="1"/>
  <c r="Q58" i="1"/>
  <c r="P58" i="1"/>
  <c r="O58" i="1"/>
  <c r="N58" i="1"/>
  <c r="R57" i="1"/>
  <c r="Q57" i="1"/>
  <c r="P57" i="1"/>
  <c r="O57" i="1"/>
  <c r="N57" i="1"/>
  <c r="R56" i="1"/>
  <c r="Q56" i="1"/>
  <c r="P56" i="1"/>
  <c r="O56" i="1"/>
  <c r="N56" i="1"/>
  <c r="R55" i="1"/>
  <c r="Q55" i="1"/>
  <c r="P55" i="1"/>
  <c r="O55" i="1"/>
  <c r="N55" i="1"/>
  <c r="R54" i="1"/>
  <c r="Q54" i="1"/>
  <c r="P54" i="1"/>
  <c r="O54" i="1"/>
  <c r="N54" i="1"/>
  <c r="R53" i="1"/>
  <c r="Q53" i="1"/>
  <c r="P53" i="1"/>
  <c r="O53" i="1"/>
  <c r="N53" i="1"/>
  <c r="R52" i="1"/>
  <c r="Q52" i="1"/>
  <c r="P52" i="1"/>
  <c r="O52" i="1"/>
  <c r="N52" i="1"/>
  <c r="R51" i="1"/>
  <c r="Q51" i="1"/>
  <c r="P51" i="1"/>
  <c r="O51" i="1"/>
  <c r="N51" i="1"/>
  <c r="R50" i="1"/>
  <c r="Q50" i="1"/>
  <c r="P50" i="1"/>
  <c r="O50" i="1"/>
  <c r="N50" i="1"/>
  <c r="R49" i="1"/>
  <c r="Q49" i="1"/>
  <c r="P49" i="1"/>
  <c r="O49" i="1"/>
  <c r="N49" i="1"/>
  <c r="R48" i="1"/>
  <c r="Q48" i="1"/>
  <c r="P48" i="1"/>
  <c r="O48" i="1"/>
  <c r="N48" i="1"/>
  <c r="R47" i="1"/>
  <c r="Q47" i="1"/>
  <c r="P47" i="1"/>
  <c r="O47" i="1"/>
  <c r="N47" i="1"/>
  <c r="R46" i="1"/>
  <c r="Q46" i="1"/>
  <c r="P46" i="1"/>
  <c r="O46" i="1"/>
  <c r="N46" i="1"/>
  <c r="R45" i="1"/>
  <c r="Q45" i="1"/>
  <c r="P45" i="1"/>
  <c r="O45" i="1"/>
  <c r="N45" i="1"/>
  <c r="R44" i="1"/>
  <c r="Q44" i="1"/>
  <c r="P44" i="1"/>
  <c r="O44" i="1"/>
  <c r="N44" i="1"/>
  <c r="R43" i="1"/>
  <c r="Q43" i="1"/>
  <c r="P43" i="1"/>
  <c r="O43" i="1"/>
  <c r="N43" i="1"/>
  <c r="R42" i="1"/>
  <c r="Q42" i="1"/>
  <c r="P42" i="1"/>
  <c r="O42" i="1"/>
  <c r="N42" i="1"/>
  <c r="R41" i="1"/>
  <c r="Q41" i="1"/>
  <c r="P41" i="1"/>
  <c r="O41" i="1"/>
  <c r="N41" i="1"/>
  <c r="R40" i="1"/>
  <c r="Q40" i="1"/>
  <c r="P40" i="1"/>
  <c r="O40" i="1"/>
  <c r="N40" i="1"/>
  <c r="R39" i="1"/>
  <c r="Q39" i="1"/>
  <c r="P39" i="1"/>
  <c r="O39" i="1"/>
  <c r="N39" i="1"/>
  <c r="R38" i="1"/>
  <c r="Q38" i="1"/>
  <c r="P38" i="1"/>
  <c r="O38" i="1"/>
  <c r="N38" i="1"/>
  <c r="R37" i="1"/>
  <c r="Q37" i="1"/>
  <c r="P37" i="1"/>
  <c r="O37" i="1"/>
  <c r="N37" i="1"/>
  <c r="R36" i="1"/>
  <c r="Q36" i="1"/>
  <c r="P36" i="1"/>
  <c r="O36" i="1"/>
  <c r="N36" i="1"/>
  <c r="R35" i="1"/>
  <c r="Q35" i="1"/>
  <c r="P35" i="1"/>
  <c r="O35" i="1"/>
  <c r="N35" i="1"/>
  <c r="R34" i="1"/>
  <c r="Q34" i="1"/>
  <c r="P34" i="1"/>
  <c r="O34" i="1"/>
  <c r="N34" i="1"/>
  <c r="R33" i="1"/>
  <c r="Q33" i="1"/>
  <c r="P33" i="1"/>
  <c r="O33" i="1"/>
  <c r="N33" i="1"/>
  <c r="R32" i="1"/>
  <c r="Q32" i="1"/>
  <c r="P32" i="1"/>
  <c r="O32" i="1"/>
  <c r="N32" i="1"/>
  <c r="R31" i="1"/>
  <c r="Q31" i="1"/>
  <c r="P31" i="1"/>
  <c r="O31" i="1"/>
  <c r="N31" i="1"/>
  <c r="R30" i="1"/>
  <c r="Q30" i="1"/>
  <c r="P30" i="1"/>
  <c r="O30" i="1"/>
  <c r="N30" i="1"/>
  <c r="R29" i="1"/>
  <c r="Q29" i="1"/>
  <c r="P29" i="1"/>
  <c r="O29" i="1"/>
  <c r="N29" i="1"/>
  <c r="R28" i="1"/>
  <c r="Q28" i="1"/>
  <c r="P28" i="1"/>
  <c r="O28" i="1"/>
  <c r="N28" i="1"/>
  <c r="R27" i="1"/>
  <c r="Q27" i="1"/>
  <c r="P27" i="1"/>
  <c r="O27" i="1"/>
  <c r="N27" i="1"/>
  <c r="R26" i="1"/>
  <c r="Q26" i="1"/>
  <c r="P26" i="1"/>
  <c r="O26" i="1"/>
  <c r="N26" i="1"/>
  <c r="R25" i="1"/>
  <c r="Q25" i="1"/>
  <c r="P25" i="1"/>
  <c r="O25" i="1"/>
  <c r="N25" i="1"/>
  <c r="R24" i="1"/>
  <c r="Q24" i="1"/>
  <c r="P24" i="1"/>
  <c r="O24" i="1"/>
  <c r="N24" i="1"/>
  <c r="R23" i="1"/>
  <c r="Q23" i="1"/>
  <c r="P23" i="1"/>
  <c r="O23" i="1"/>
  <c r="N23" i="1"/>
  <c r="R22" i="1"/>
  <c r="Q22" i="1"/>
  <c r="P22" i="1"/>
  <c r="O22" i="1"/>
  <c r="N22" i="1"/>
  <c r="R21" i="1"/>
  <c r="Q21" i="1"/>
  <c r="P21" i="1"/>
  <c r="O21" i="1"/>
  <c r="N21" i="1"/>
  <c r="R20" i="1"/>
  <c r="Q20" i="1"/>
  <c r="P20" i="1"/>
  <c r="O20" i="1"/>
  <c r="N20" i="1"/>
  <c r="R19" i="1"/>
  <c r="Q19" i="1"/>
  <c r="P19" i="1"/>
  <c r="O19" i="1"/>
  <c r="N19" i="1"/>
  <c r="R18" i="1"/>
  <c r="Q18" i="1"/>
  <c r="P18" i="1"/>
  <c r="O18" i="1"/>
  <c r="N18" i="1"/>
  <c r="R17" i="1"/>
  <c r="Q17" i="1"/>
  <c r="P17" i="1"/>
  <c r="O17" i="1"/>
  <c r="N17" i="1"/>
  <c r="R16" i="1"/>
  <c r="Q16" i="1"/>
  <c r="P16" i="1"/>
  <c r="O16" i="1"/>
  <c r="N16" i="1"/>
  <c r="R15" i="1"/>
  <c r="Q15" i="1"/>
  <c r="P15" i="1"/>
  <c r="O15" i="1"/>
  <c r="N15" i="1"/>
  <c r="R14" i="1"/>
  <c r="Q14" i="1"/>
  <c r="P14" i="1"/>
  <c r="O14" i="1"/>
  <c r="N14" i="1"/>
  <c r="R13" i="1"/>
  <c r="Q13" i="1"/>
  <c r="P13" i="1"/>
  <c r="O13" i="1"/>
  <c r="N13" i="1"/>
  <c r="R12" i="1"/>
  <c r="Q12" i="1"/>
  <c r="P12" i="1"/>
  <c r="O12" i="1"/>
  <c r="N12" i="1"/>
  <c r="R11" i="1"/>
  <c r="Q11" i="1"/>
  <c r="P11" i="1"/>
  <c r="O11" i="1"/>
  <c r="N11" i="1"/>
  <c r="R10" i="1"/>
  <c r="Q10" i="1"/>
  <c r="P10" i="1"/>
  <c r="O10" i="1"/>
  <c r="N10" i="1"/>
  <c r="R9" i="1"/>
  <c r="Q9" i="1"/>
  <c r="P9" i="1"/>
  <c r="O9" i="1"/>
  <c r="N9" i="1"/>
  <c r="R8" i="1"/>
  <c r="Q8" i="1"/>
  <c r="P8" i="1"/>
  <c r="O8" i="1"/>
  <c r="N8" i="1"/>
  <c r="R7" i="1"/>
  <c r="Q7" i="1"/>
  <c r="P7" i="1"/>
  <c r="O7" i="1"/>
  <c r="N7" i="1"/>
  <c r="R6" i="1"/>
  <c r="Q6" i="1"/>
  <c r="P6" i="1"/>
  <c r="O6" i="1"/>
  <c r="N6" i="1"/>
  <c r="R5" i="1"/>
  <c r="Q5" i="1"/>
  <c r="P5" i="1"/>
  <c r="O5" i="1"/>
  <c r="N5" i="1"/>
  <c r="R4" i="1"/>
  <c r="Q4" i="1"/>
  <c r="P4" i="1"/>
  <c r="O4" i="1"/>
  <c r="N4" i="1"/>
  <c r="R3" i="1"/>
  <c r="Q3" i="1"/>
  <c r="P3" i="1"/>
  <c r="O3" i="1"/>
  <c r="N3" i="1"/>
  <c r="R2" i="1"/>
  <c r="Q2" i="1"/>
  <c r="P2" i="1"/>
  <c r="O2" i="1"/>
  <c r="N2" i="1"/>
</calcChain>
</file>

<file path=xl/sharedStrings.xml><?xml version="1.0" encoding="utf-8"?>
<sst xmlns="http://schemas.openxmlformats.org/spreadsheetml/2006/main" count="4405" uniqueCount="175">
  <si>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</si>
  <si>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</si>
  <si>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</si>
  <si>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</si>
  <si>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</si>
  <si>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</si>
  <si>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</si>
  <si>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</si>
  <si>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</si>
  <si>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</si>
  <si>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</si>
  <si>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</si>
  <si>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</si>
  <si>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</si>
  <si>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</si>
  <si>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</si>
  <si>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</si>
  <si>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</si>
  <si>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</si>
  <si>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</si>
  <si>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</si>
  <si>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</si>
  <si>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</si>
  <si>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</si>
  <si>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</si>
  <si>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</si>
  <si>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</si>
  <si>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</si>
  <si>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</si>
  <si>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</si>
  <si>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</si>
  <si>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</si>
  <si>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</si>
  <si>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</si>
  <si>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</si>
  <si>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</si>
  <si>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</si>
  <si>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</si>
  <si>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</si>
  <si>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</si>
  <si>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</si>
  <si>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</si>
  <si>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</si>
  <si>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</si>
  <si>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</si>
  <si>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</si>
  <si>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</si>
  <si>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</si>
  <si>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</si>
  <si>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</si>
  <si>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</si>
  <si>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</si>
  <si>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</si>
  <si>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</si>
  <si>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</si>
  <si>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</si>
  <si>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</si>
  <si>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</si>
  <si>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</si>
  <si>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</si>
  <si>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</si>
  <si>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</si>
  <si>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</si>
  <si>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</si>
  <si>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</si>
  <si>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</si>
  <si>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</si>
  <si>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</si>
  <si>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</si>
  <si>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</si>
  <si>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</si>
  <si>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</si>
  <si>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</si>
  <si>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</si>
  <si>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</si>
  <si>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</si>
  <si>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</si>
  <si>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</si>
  <si>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</si>
  <si>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</si>
  <si>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</si>
  <si>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</si>
  <si>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</si>
  <si>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</si>
  <si>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</si>
  <si>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</si>
  <si>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</si>
  <si>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</si>
  <si>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</si>
  <si>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</si>
  <si>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</si>
  <si>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</si>
  <si>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</si>
  <si>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</si>
  <si>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</si>
  <si>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</si>
  <si>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</si>
  <si>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</si>
  <si>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</si>
  <si>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</si>
  <si>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</si>
  <si>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</si>
  <si>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</si>
  <si>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</si>
  <si>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</si>
  <si>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</si>
  <si>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</si>
  <si>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</si>
  <si>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</si>
  <si>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</si>
  <si>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</si>
  <si>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</si>
  <si>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</si>
  <si>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</si>
  <si>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</si>
  <si>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</si>
  <si>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</si>
  <si>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</si>
  <si>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</si>
  <si>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</si>
  <si>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</si>
  <si>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</si>
  <si>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</si>
  <si>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</si>
  <si>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</si>
  <si>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</si>
  <si>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</si>
  <si>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</si>
  <si>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</si>
  <si>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</si>
  <si>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</si>
  <si>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</si>
  <si>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</si>
  <si>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</si>
  <si>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</si>
  <si>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</si>
  <si>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</si>
  <si>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</si>
  <si>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</si>
  <si>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</si>
  <si>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</si>
  <si>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</si>
  <si>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</si>
  <si>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</si>
  <si>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</si>
  <si>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</si>
  <si>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Column Labels</t>
  </si>
  <si>
    <t>Count of Student_ID</t>
  </si>
  <si>
    <t>Social_media_level</t>
  </si>
  <si>
    <t>Count of Affects_Academic_Performance</t>
  </si>
  <si>
    <t>Count of Gender</t>
  </si>
  <si>
    <t>Average of Avg_Daily_Usage_Hours</t>
  </si>
  <si>
    <t>Count of Academic_Level</t>
  </si>
  <si>
    <t>High</t>
  </si>
  <si>
    <t>Medium</t>
  </si>
  <si>
    <t>Negative_Effect</t>
  </si>
  <si>
    <t>Negative_Sleep_Effect</t>
  </si>
  <si>
    <t>Mental_Health</t>
  </si>
  <si>
    <t>Count of Negative_Sleep_Effect</t>
  </si>
  <si>
    <t>Count of Mental_Health</t>
  </si>
  <si>
    <t>Bad</t>
  </si>
  <si>
    <t>Good</t>
  </si>
  <si>
    <t>Worst</t>
  </si>
  <si>
    <t>Average</t>
  </si>
  <si>
    <t>Less</t>
  </si>
  <si>
    <t>Count of Conflicts_Over_Social_Media</t>
  </si>
  <si>
    <t>Count of Relationship_Status</t>
  </si>
  <si>
    <t>Addicted</t>
  </si>
  <si>
    <t>Demographic &amp; Academic Profile Dashboard</t>
  </si>
  <si>
    <t>Social Media Usage Patterns Dashboard</t>
  </si>
  <si>
    <t>Impact on Academic Performance Dashboard</t>
  </si>
  <si>
    <t>Sleep &amp; Well-Being Dashboard</t>
  </si>
  <si>
    <t>Mental Health Indicators Dashboard</t>
  </si>
  <si>
    <t>Relationship &amp; Social Conflict Dashboard</t>
  </si>
  <si>
    <t>Average of Conflicts_Over_Social_Media2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</si>
</sst>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1"/>
      </top>
      <bottom style="medium">
        <color theme="1"/>
      </bottom>
      <diagonal/>
    </border>
    <border>
      <left style="medium">
        <color theme="9"/>
      </left>
      <right/>
      <top style="medium">
        <color theme="1"/>
      </top>
      <bottom style="medium">
        <color theme="1"/>
      </bottom>
      <diagonal/>
    </border>
    <border>
      <left/>
      <right/>
      <top style="medium">
        <color indexed="64"/>
      </top>
      <bottom style="medium">
        <color indexed="64"/>
      </bottom>
      <diagonal/>
    </border>
    <border>
      <left/>
      <right/>
      <top/>
      <bottom style="medium">
        <color indexed="64"/>
      </bottom>
      <diagonal/>
    </border>
    <border>
      <left style="medium">
        <color theme="9"/>
      </left>
      <right/>
      <top/>
      <bottom/>
      <diagonal/>
    </border>
    <border>
      <left style="medium">
        <color theme="9"/>
      </left>
      <right/>
      <top/>
      <bottom style="medium">
        <color indexed="64"/>
      </bottom>
      <diagonal/>
    </border>
    <border>
      <left style="medium">
        <color theme="9"/>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4" borderId="0" xfId="0" applyFill="1"/>
    <xf numFmtId="0" fontId="19" fillId="33" borderId="0" xfId="0" applyFont="1" applyFill="1"/>
    <xf numFmtId="0" fontId="18" fillId="33" borderId="11" xfId="0" applyFont="1" applyFill="1" applyBorder="1" applyAlignment="1">
      <alignment horizontal="center" vertical="center"/>
    </xf>
    <xf numFmtId="0" fontId="0" fillId="33" borderId="10" xfId="0" applyFill="1" applyBorder="1" applyAlignment="1">
      <alignment horizontal="center" vertical="center"/>
    </xf>
    <xf numFmtId="0" fontId="18" fillId="33" borderId="10" xfId="0" applyFont="1" applyFill="1" applyBorder="1" applyAlignment="1">
      <alignment horizontal="center" vertical="center"/>
    </xf>
    <xf numFmtId="0" fontId="18" fillId="33" borderId="14" xfId="0" applyFont="1" applyFill="1" applyBorder="1" applyAlignment="1">
      <alignment horizontal="center"/>
    </xf>
    <xf numFmtId="0" fontId="18" fillId="33" borderId="0" xfId="0" applyFont="1" applyFill="1" applyAlignment="1">
      <alignment horizontal="center"/>
    </xf>
    <xf numFmtId="0" fontId="18" fillId="33" borderId="15" xfId="0" applyFont="1" applyFill="1" applyBorder="1" applyAlignment="1">
      <alignment horizontal="center"/>
    </xf>
    <xf numFmtId="0" fontId="18" fillId="33" borderId="13" xfId="0" applyFont="1" applyFill="1" applyBorder="1" applyAlignment="1">
      <alignment horizontal="center"/>
    </xf>
    <xf numFmtId="0" fontId="18" fillId="33" borderId="16" xfId="0" applyFont="1" applyFill="1" applyBorder="1" applyAlignment="1">
      <alignment horizontal="center"/>
    </xf>
    <xf numFmtId="0" fontId="18"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21" Type="http://schemas.microsoft.com/office/2007/relationships/slicerCache" Target="slicerCaches/slicerCache5.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microsoft.com/office/2007/relationships/slicerCache" Target="slicerCaches/slicerCache17.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29" Type="http://schemas.microsoft.com/office/2007/relationships/slicerCache" Target="slicerCaches/slicerCache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32" Type="http://schemas.microsoft.com/office/2007/relationships/slicerCache" Target="slicerCaches/slicerCache16.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7.xml"/><Relationship Id="rId28" Type="http://schemas.microsoft.com/office/2007/relationships/slicerCache" Target="slicerCaches/slicerCache1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31" Type="http://schemas.microsoft.com/office/2007/relationships/slicerCache" Target="slicerCaches/slicerCache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microsoft.com/office/2007/relationships/slicerCache" Target="slicerCaches/slicerCache11.xml"/><Relationship Id="rId30" Type="http://schemas.microsoft.com/office/2007/relationships/slicerCache" Target="slicerCaches/slicerCache1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1a</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73771935625532E-2"/>
          <c:y val="0.16979064418709769"/>
          <c:w val="0.76584425435405956"/>
          <c:h val="0.57665315929056782"/>
        </c:manualLayout>
      </c:layout>
      <c:barChart>
        <c:barDir val="col"/>
        <c:grouping val="clustered"/>
        <c:varyColors val="0"/>
        <c:ser>
          <c:idx val="0"/>
          <c:order val="0"/>
          <c:tx>
            <c:strRef>
              <c:f>'Demographic &amp; Academic Profile'!$B$1:$B$2</c:f>
              <c:strCache>
                <c:ptCount val="1"/>
                <c:pt idx="0">
                  <c:v>21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Profile'!$B$3:$B$7</c:f>
              <c:numCache>
                <c:formatCode>General</c:formatCode>
                <c:ptCount val="5"/>
                <c:pt idx="0">
                  <c:v>14</c:v>
                </c:pt>
                <c:pt idx="1">
                  <c:v>9</c:v>
                </c:pt>
                <c:pt idx="2">
                  <c:v>17</c:v>
                </c:pt>
                <c:pt idx="3">
                  <c:v>9</c:v>
                </c:pt>
                <c:pt idx="4">
                  <c:v>9</c:v>
                </c:pt>
              </c:numCache>
            </c:numRef>
          </c:val>
          <c:extLst>
            <c:ext xmlns:c16="http://schemas.microsoft.com/office/drawing/2014/chart" uri="{C3380CC4-5D6E-409C-BE32-E72D297353CC}">
              <c16:uniqueId val="{0000002A-D6EB-4BBA-B5D2-E0747685FA94}"/>
            </c:ext>
          </c:extLst>
        </c:ser>
        <c:ser>
          <c:idx val="1"/>
          <c:order val="1"/>
          <c:tx>
            <c:strRef>
              <c:f>'Demographic &amp; Academic Profile'!$C$1:$C$2</c:f>
              <c:strCache>
                <c:ptCount val="1"/>
                <c:pt idx="0">
                  <c:v>22</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Profile'!$C$3:$C$7</c:f>
              <c:numCache>
                <c:formatCode>General</c:formatCode>
                <c:ptCount val="5"/>
                <c:pt idx="0">
                  <c:v>13</c:v>
                </c:pt>
                <c:pt idx="1">
                  <c:v>10</c:v>
                </c:pt>
                <c:pt idx="2">
                  <c:v>18</c:v>
                </c:pt>
                <c:pt idx="3">
                  <c:v>12</c:v>
                </c:pt>
                <c:pt idx="4">
                  <c:v>9</c:v>
                </c:pt>
              </c:numCache>
            </c:numRef>
          </c:val>
          <c:extLst>
            <c:ext xmlns:c16="http://schemas.microsoft.com/office/drawing/2014/chart" uri="{C3380CC4-5D6E-409C-BE32-E72D297353CC}">
              <c16:uniqueId val="{0000002C-D6EB-4BBA-B5D2-E0747685FA94}"/>
            </c:ext>
          </c:extLst>
        </c:ser>
        <c:ser>
          <c:idx val="2"/>
          <c:order val="2"/>
          <c:tx>
            <c:strRef>
              <c:f>'Demographic &amp; Academic Profile'!$D$1:$D$2</c:f>
              <c:strCache>
                <c:ptCount val="1"/>
                <c:pt idx="0">
                  <c:v>23</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Profile'!$D$3:$D$7</c:f>
              <c:numCache>
                <c:formatCode>General</c:formatCode>
                <c:ptCount val="5"/>
                <c:pt idx="0">
                  <c:v>3</c:v>
                </c:pt>
                <c:pt idx="1">
                  <c:v>1</c:v>
                </c:pt>
                <c:pt idx="4">
                  <c:v>2</c:v>
                </c:pt>
              </c:numCache>
            </c:numRef>
          </c:val>
          <c:extLst>
            <c:ext xmlns:c16="http://schemas.microsoft.com/office/drawing/2014/chart" uri="{C3380CC4-5D6E-409C-BE32-E72D297353CC}">
              <c16:uniqueId val="{0000002E-D6EB-4BBA-B5D2-E0747685FA94}"/>
            </c:ext>
          </c:extLst>
        </c:ser>
        <c:ser>
          <c:idx val="3"/>
          <c:order val="3"/>
          <c:tx>
            <c:strRef>
              <c:f>'Demographic &amp; Academic Profile'!$E$1:$E$2</c:f>
              <c:strCache>
                <c:ptCount val="1"/>
                <c:pt idx="0">
                  <c:v>24</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Profile'!$E$3:$E$7</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6-4F7B-4BF8-850A-B53BC280E00C}"/>
            </c:ext>
          </c:extLst>
        </c:ser>
        <c:dLbls>
          <c:dLblPos val="outEnd"/>
          <c:showLegendKey val="0"/>
          <c:showVal val="1"/>
          <c:showCatName val="0"/>
          <c:showSerName val="0"/>
          <c:showPercent val="0"/>
          <c:showBubbleSize val="0"/>
        </c:dLbls>
        <c:gapWidth val="65"/>
        <c:axId val="1921613776"/>
        <c:axId val="1921623376"/>
      </c:barChart>
      <c:catAx>
        <c:axId val="1921613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1623376"/>
        <c:crosses val="autoZero"/>
        <c:auto val="1"/>
        <c:lblAlgn val="ctr"/>
        <c:lblOffset val="100"/>
        <c:noMultiLvlLbl val="0"/>
      </c:catAx>
      <c:valAx>
        <c:axId val="1921623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1613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1b</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Profile'!$L$1:$L$2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&amp; Academic Profile'!$K$3:$K$7</c:f>
              <c:strCache>
                <c:ptCount val="5"/>
                <c:pt idx="0">
                  <c:v>Canada</c:v>
                </c:pt>
                <c:pt idx="1">
                  <c:v>Denmark</c:v>
                </c:pt>
                <c:pt idx="2">
                  <c:v>India</c:v>
                </c:pt>
                <c:pt idx="3">
                  <c:v>Mexico</c:v>
                </c:pt>
                <c:pt idx="4">
                  <c:v>Turkey</c:v>
                </c:pt>
              </c:strCache>
            </c:strRef>
          </c:cat>
          <c:val>
            <c:numRef>
              <c:f>'Demographic &amp; Academic Profile'!$L$3:$L$7</c:f>
              <c:numCache>
                <c:formatCode>General</c:formatCode>
                <c:ptCount val="5"/>
                <c:pt idx="0">
                  <c:v>2</c:v>
                </c:pt>
                <c:pt idx="1">
                  <c:v>1</c:v>
                </c:pt>
                <c:pt idx="2">
                  <c:v>5</c:v>
                </c:pt>
                <c:pt idx="3">
                  <c:v>1</c:v>
                </c:pt>
                <c:pt idx="4">
                  <c:v>1</c:v>
                </c:pt>
              </c:numCache>
            </c:numRef>
          </c:val>
          <c:extLst>
            <c:ext xmlns:c16="http://schemas.microsoft.com/office/drawing/2014/chart" uri="{C3380CC4-5D6E-409C-BE32-E72D297353CC}">
              <c16:uniqueId val="{00000000-1685-4FB5-921E-242D606B0BEF}"/>
            </c:ext>
          </c:extLst>
        </c:ser>
        <c:ser>
          <c:idx val="1"/>
          <c:order val="1"/>
          <c:tx>
            <c:strRef>
              <c:f>'Demographic &amp; Academic Profile'!$M$1:$M$2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&amp; Academic Profile'!$K$3:$K$7</c:f>
              <c:strCache>
                <c:ptCount val="5"/>
                <c:pt idx="0">
                  <c:v>Canada</c:v>
                </c:pt>
                <c:pt idx="1">
                  <c:v>Denmark</c:v>
                </c:pt>
                <c:pt idx="2">
                  <c:v>India</c:v>
                </c:pt>
                <c:pt idx="3">
                  <c:v>Mexico</c:v>
                </c:pt>
                <c:pt idx="4">
                  <c:v>Turkey</c:v>
                </c:pt>
              </c:strCache>
            </c:strRef>
          </c:cat>
          <c:val>
            <c:numRef>
              <c:f>'Demographic &amp; Academic Profile'!$M$3:$M$7</c:f>
              <c:numCache>
                <c:formatCode>General</c:formatCode>
                <c:ptCount val="5"/>
                <c:pt idx="0">
                  <c:v>29</c:v>
                </c:pt>
                <c:pt idx="1">
                  <c:v>20</c:v>
                </c:pt>
                <c:pt idx="2">
                  <c:v>31</c:v>
                </c:pt>
                <c:pt idx="3">
                  <c:v>21</c:v>
                </c:pt>
                <c:pt idx="4">
                  <c:v>20</c:v>
                </c:pt>
              </c:numCache>
            </c:numRef>
          </c:val>
          <c:extLst>
            <c:ext xmlns:c16="http://schemas.microsoft.com/office/drawing/2014/chart" uri="{C3380CC4-5D6E-409C-BE32-E72D297353CC}">
              <c16:uniqueId val="{00000001-1685-4FB5-921E-242D606B0BEF}"/>
            </c:ext>
          </c:extLst>
        </c:ser>
        <c:dLbls>
          <c:showLegendKey val="0"/>
          <c:showVal val="0"/>
          <c:showCatName val="0"/>
          <c:showSerName val="0"/>
          <c:showPercent val="0"/>
          <c:showBubbleSize val="0"/>
        </c:dLbls>
        <c:gapWidth val="100"/>
        <c:overlap val="-24"/>
        <c:axId val="1921634896"/>
        <c:axId val="1921628656"/>
      </c:barChart>
      <c:catAx>
        <c:axId val="1921634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628656"/>
        <c:crosses val="autoZero"/>
        <c:auto val="1"/>
        <c:lblAlgn val="ctr"/>
        <c:lblOffset val="100"/>
        <c:noMultiLvlLbl val="0"/>
      </c:catAx>
      <c:valAx>
        <c:axId val="1921628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63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1c</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Profile'!$P$2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Profile'!$O$3:$O$5</c:f>
              <c:strCache>
                <c:ptCount val="3"/>
                <c:pt idx="0">
                  <c:v>Graduate</c:v>
                </c:pt>
                <c:pt idx="1">
                  <c:v>High School</c:v>
                </c:pt>
                <c:pt idx="2">
                  <c:v>Undergraduate</c:v>
                </c:pt>
              </c:strCache>
            </c:strRef>
          </c:cat>
          <c:val>
            <c:numRef>
              <c:f>'Demographic &amp; Academic Profile'!$P$3:$P$5</c:f>
              <c:numCache>
                <c:formatCode>General</c:formatCode>
                <c:ptCount val="3"/>
                <c:pt idx="0">
                  <c:v>325</c:v>
                </c:pt>
                <c:pt idx="1">
                  <c:v>27</c:v>
                </c:pt>
                <c:pt idx="2">
                  <c:v>353</c:v>
                </c:pt>
              </c:numCache>
            </c:numRef>
          </c:val>
          <c:extLst>
            <c:ext xmlns:c16="http://schemas.microsoft.com/office/drawing/2014/chart" uri="{C3380CC4-5D6E-409C-BE32-E72D297353CC}">
              <c16:uniqueId val="{00000000-91DD-4249-B475-12186B096D4D}"/>
            </c:ext>
          </c:extLst>
        </c:ser>
        <c:dLbls>
          <c:dLblPos val="outEnd"/>
          <c:showLegendKey val="0"/>
          <c:showVal val="1"/>
          <c:showCatName val="0"/>
          <c:showSerName val="0"/>
          <c:showPercent val="0"/>
          <c:showBubbleSize val="0"/>
        </c:dLbls>
        <c:gapWidth val="65"/>
        <c:axId val="1357735904"/>
        <c:axId val="1283579056"/>
      </c:barChart>
      <c:catAx>
        <c:axId val="1357735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3579056"/>
        <c:crosses val="autoZero"/>
        <c:auto val="1"/>
        <c:lblAlgn val="ctr"/>
        <c:lblOffset val="100"/>
        <c:noMultiLvlLbl val="0"/>
      </c:catAx>
      <c:valAx>
        <c:axId val="1283579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77359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1d</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Profile'!$T$2:$T$3</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&amp; Academic Profile'!$S$4:$S$13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'Demographic &amp; Academic Profile'!$T$4:$T$13</c:f>
              <c:numCache>
                <c:formatCode>General</c:formatCode>
                <c:ptCount val="10"/>
                <c:pt idx="0">
                  <c:v>4</c:v>
                </c:pt>
                <c:pt idx="1">
                  <c:v>4</c:v>
                </c:pt>
                <c:pt idx="2">
                  <c:v>22</c:v>
                </c:pt>
                <c:pt idx="3">
                  <c:v>20</c:v>
                </c:pt>
                <c:pt idx="4">
                  <c:v>23</c:v>
                </c:pt>
                <c:pt idx="5">
                  <c:v>5</c:v>
                </c:pt>
                <c:pt idx="6">
                  <c:v>23</c:v>
                </c:pt>
                <c:pt idx="7">
                  <c:v>23</c:v>
                </c:pt>
                <c:pt idx="8">
                  <c:v>5</c:v>
                </c:pt>
                <c:pt idx="9">
                  <c:v>36</c:v>
                </c:pt>
              </c:numCache>
            </c:numRef>
          </c:val>
          <c:extLst>
            <c:ext xmlns:c16="http://schemas.microsoft.com/office/drawing/2014/chart" uri="{C3380CC4-5D6E-409C-BE32-E72D297353CC}">
              <c16:uniqueId val="{00000000-6285-43FC-A8FF-BBE3B7899EBD}"/>
            </c:ext>
          </c:extLst>
        </c:ser>
        <c:ser>
          <c:idx val="1"/>
          <c:order val="1"/>
          <c:tx>
            <c:strRef>
              <c:f>'Demographic &amp; Academic Profile'!$U$2:$U$3</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&amp; Academic Profile'!$S$4:$S$13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'Demographic &amp; Academic Profile'!$U$4:$U$13</c:f>
              <c:numCache>
                <c:formatCode>General</c:formatCode>
                <c:ptCount val="10"/>
                <c:pt idx="0">
                  <c:v>30</c:v>
                </c:pt>
                <c:pt idx="1">
                  <c:v>23</c:v>
                </c:pt>
                <c:pt idx="2">
                  <c:v>5</c:v>
                </c:pt>
                <c:pt idx="3">
                  <c:v>33</c:v>
                </c:pt>
                <c:pt idx="4">
                  <c:v>4</c:v>
                </c:pt>
                <c:pt idx="5">
                  <c:v>22</c:v>
                </c:pt>
                <c:pt idx="6">
                  <c:v>4</c:v>
                </c:pt>
                <c:pt idx="7">
                  <c:v>4</c:v>
                </c:pt>
                <c:pt idx="8">
                  <c:v>22</c:v>
                </c:pt>
                <c:pt idx="9">
                  <c:v>4</c:v>
                </c:pt>
              </c:numCache>
            </c:numRef>
          </c:val>
          <c:extLst>
            <c:ext xmlns:c16="http://schemas.microsoft.com/office/drawing/2014/chart" uri="{C3380CC4-5D6E-409C-BE32-E72D297353CC}">
              <c16:uniqueId val="{00000001-58EF-497A-BE67-10438748A10B}"/>
            </c:ext>
          </c:extLst>
        </c:ser>
        <c:dLbls>
          <c:showLegendKey val="0"/>
          <c:showVal val="0"/>
          <c:showCatName val="0"/>
          <c:showSerName val="0"/>
          <c:showPercent val="0"/>
          <c:showBubbleSize val="0"/>
        </c:dLbls>
        <c:gapWidth val="100"/>
        <c:overlap val="-24"/>
        <c:axId val="9874880"/>
        <c:axId val="9882080"/>
      </c:barChart>
      <c:catAx>
        <c:axId val="987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2080"/>
        <c:crosses val="autoZero"/>
        <c:auto val="1"/>
        <c:lblAlgn val="ctr"/>
        <c:lblOffset val="100"/>
        <c:noMultiLvlLbl val="0"/>
      </c:catAx>
      <c:valAx>
        <c:axId val="9882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1a</c:name>
    <c:fmtId val="23"/>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IN" sz="1400" b="1">
                <a:solidFill>
                  <a:schemeClr val="tx1">
                    <a:lumMod val="50000"/>
                    <a:lumOff val="50000"/>
                  </a:schemeClr>
                </a:solidFill>
              </a:rPr>
              <a:t>Student</a:t>
            </a:r>
            <a:r>
              <a:rPr lang="en-IN" sz="1400" b="1" baseline="0">
                <a:solidFill>
                  <a:schemeClr val="tx1">
                    <a:lumMod val="50000"/>
                    <a:lumOff val="50000"/>
                  </a:schemeClr>
                </a:solidFill>
              </a:rPr>
              <a:t> Count By Age</a:t>
            </a:r>
            <a:endParaRPr lang="en-IN" sz="1400" b="1">
              <a:solidFill>
                <a:schemeClr val="tx1">
                  <a:lumMod val="50000"/>
                  <a:lumOff val="50000"/>
                </a:schemeClr>
              </a:solidFill>
            </a:endParaRPr>
          </a:p>
        </c:rich>
      </c:tx>
      <c:layout>
        <c:manualLayout>
          <c:xMode val="edge"/>
          <c:yMode val="edge"/>
          <c:x val="0.21371507585202787"/>
          <c:y val="9.80396738241547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73771935625532E-2"/>
          <c:y val="0.16979064418709769"/>
          <c:w val="0.76584425435405956"/>
          <c:h val="0.57665315929056782"/>
        </c:manualLayout>
      </c:layout>
      <c:barChart>
        <c:barDir val="col"/>
        <c:grouping val="clustered"/>
        <c:varyColors val="0"/>
        <c:ser>
          <c:idx val="0"/>
          <c:order val="0"/>
          <c:tx>
            <c:strRef>
              <c:f>'Demographic &amp; Academic Profile'!$B$1:$B$2</c:f>
              <c:strCache>
                <c:ptCount val="1"/>
                <c:pt idx="0">
                  <c:v>21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Profile'!$B$3:$B$7</c:f>
              <c:numCache>
                <c:formatCode>General</c:formatCode>
                <c:ptCount val="5"/>
                <c:pt idx="0">
                  <c:v>14</c:v>
                </c:pt>
                <c:pt idx="1">
                  <c:v>9</c:v>
                </c:pt>
                <c:pt idx="2">
                  <c:v>17</c:v>
                </c:pt>
                <c:pt idx="3">
                  <c:v>9</c:v>
                </c:pt>
                <c:pt idx="4">
                  <c:v>9</c:v>
                </c:pt>
              </c:numCache>
            </c:numRef>
          </c:val>
          <c:extLst>
            <c:ext xmlns:c16="http://schemas.microsoft.com/office/drawing/2014/chart" uri="{C3380CC4-5D6E-409C-BE32-E72D297353CC}">
              <c16:uniqueId val="{00000000-3E47-449D-BDB1-34A1AE8198AA}"/>
            </c:ext>
          </c:extLst>
        </c:ser>
        <c:ser>
          <c:idx val="1"/>
          <c:order val="1"/>
          <c:tx>
            <c:strRef>
              <c:f>'Demographic &amp; Academic Profile'!$C$1:$C$2</c:f>
              <c:strCache>
                <c:ptCount val="1"/>
                <c:pt idx="0">
                  <c:v>22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Profile'!$C$3:$C$7</c:f>
              <c:numCache>
                <c:formatCode>General</c:formatCode>
                <c:ptCount val="5"/>
                <c:pt idx="0">
                  <c:v>13</c:v>
                </c:pt>
                <c:pt idx="1">
                  <c:v>10</c:v>
                </c:pt>
                <c:pt idx="2">
                  <c:v>18</c:v>
                </c:pt>
                <c:pt idx="3">
                  <c:v>12</c:v>
                </c:pt>
                <c:pt idx="4">
                  <c:v>9</c:v>
                </c:pt>
              </c:numCache>
            </c:numRef>
          </c:val>
          <c:extLst>
            <c:ext xmlns:c16="http://schemas.microsoft.com/office/drawing/2014/chart" uri="{C3380CC4-5D6E-409C-BE32-E72D297353CC}">
              <c16:uniqueId val="{00000001-3E47-449D-BDB1-34A1AE8198AA}"/>
            </c:ext>
          </c:extLst>
        </c:ser>
        <c:ser>
          <c:idx val="2"/>
          <c:order val="2"/>
          <c:tx>
            <c:strRef>
              <c:f>'Demographic &amp; Academic Profile'!$D$1:$D$2</c:f>
              <c:strCache>
                <c:ptCount val="1"/>
                <c:pt idx="0">
                  <c:v>23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Profile'!$D$3:$D$7</c:f>
              <c:numCache>
                <c:formatCode>General</c:formatCode>
                <c:ptCount val="5"/>
                <c:pt idx="0">
                  <c:v>3</c:v>
                </c:pt>
                <c:pt idx="1">
                  <c:v>1</c:v>
                </c:pt>
                <c:pt idx="4">
                  <c:v>2</c:v>
                </c:pt>
              </c:numCache>
            </c:numRef>
          </c:val>
          <c:extLst>
            <c:ext xmlns:c16="http://schemas.microsoft.com/office/drawing/2014/chart" uri="{C3380CC4-5D6E-409C-BE32-E72D297353CC}">
              <c16:uniqueId val="{00000002-3E47-449D-BDB1-34A1AE8198AA}"/>
            </c:ext>
          </c:extLst>
        </c:ser>
        <c:ser>
          <c:idx val="3"/>
          <c:order val="3"/>
          <c:tx>
            <c:strRef>
              <c:f>'Demographic &amp; Academic Profile'!$E$1:$E$2</c:f>
              <c:strCache>
                <c:ptCount val="1"/>
                <c:pt idx="0">
                  <c:v>24</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Profile'!$A$3:$A$7</c:f>
              <c:strCache>
                <c:ptCount val="5"/>
                <c:pt idx="0">
                  <c:v>Canada</c:v>
                </c:pt>
                <c:pt idx="1">
                  <c:v>Denmark</c:v>
                </c:pt>
                <c:pt idx="2">
                  <c:v>India</c:v>
                </c:pt>
                <c:pt idx="3">
                  <c:v>Mexico</c:v>
                </c:pt>
                <c:pt idx="4">
                  <c:v>Turkey</c:v>
                </c:pt>
              </c:strCache>
            </c:strRef>
          </c:cat>
          <c:val>
            <c:numRef>
              <c:f>'Demographic &amp; Academic Profile'!$E$3:$E$7</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3-3E47-449D-BDB1-34A1AE8198AA}"/>
            </c:ext>
          </c:extLst>
        </c:ser>
        <c:dLbls>
          <c:dLblPos val="outEnd"/>
          <c:showLegendKey val="0"/>
          <c:showVal val="1"/>
          <c:showCatName val="0"/>
          <c:showSerName val="0"/>
          <c:showPercent val="0"/>
          <c:showBubbleSize val="0"/>
        </c:dLbls>
        <c:gapWidth val="65"/>
        <c:axId val="1921613776"/>
        <c:axId val="1921623376"/>
      </c:barChart>
      <c:catAx>
        <c:axId val="1921613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1623376"/>
        <c:crosses val="autoZero"/>
        <c:auto val="1"/>
        <c:lblAlgn val="ctr"/>
        <c:lblOffset val="100"/>
        <c:noMultiLvlLbl val="0"/>
      </c:catAx>
      <c:valAx>
        <c:axId val="1921623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1613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1b</c:name>
    <c:fmtId val="9"/>
  </c:pivotSource>
  <c:chart>
    <c:title>
      <c:tx>
        <c:rich>
          <a:bodyPr rot="0" spcFirstLastPara="1" vertOverflow="ellipsis" vert="horz" wrap="square" anchor="ctr" anchorCtr="1"/>
          <a:lstStyle/>
          <a:p>
            <a:pPr algn="ctr">
              <a:defRPr sz="1400" b="1" i="0" u="none" strike="noStrike" kern="1200" baseline="0">
                <a:solidFill>
                  <a:schemeClr val="tx1">
                    <a:lumMod val="50000"/>
                    <a:lumOff val="50000"/>
                  </a:schemeClr>
                </a:solidFill>
                <a:latin typeface="+mn-lt"/>
                <a:ea typeface="+mn-ea"/>
                <a:cs typeface="+mn-cs"/>
              </a:defRPr>
            </a:pPr>
            <a:r>
              <a:rPr lang="en-IN" sz="1400" b="1" baseline="0">
                <a:solidFill>
                  <a:schemeClr val="tx1">
                    <a:lumMod val="50000"/>
                    <a:lumOff val="50000"/>
                  </a:schemeClr>
                </a:solidFill>
              </a:rPr>
              <a:t>Gender Distribution By Country</a:t>
            </a:r>
          </a:p>
        </c:rich>
      </c:tx>
      <c:layout>
        <c:manualLayout>
          <c:xMode val="edge"/>
          <c:yMode val="edge"/>
          <c:x val="0.18114553023219063"/>
          <c:y val="0.1826394270245132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Profile'!$L$1:$L$2</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Profile'!$K$3:$K$7</c:f>
              <c:strCache>
                <c:ptCount val="5"/>
                <c:pt idx="0">
                  <c:v>Canada</c:v>
                </c:pt>
                <c:pt idx="1">
                  <c:v>Denmark</c:v>
                </c:pt>
                <c:pt idx="2">
                  <c:v>India</c:v>
                </c:pt>
                <c:pt idx="3">
                  <c:v>Mexico</c:v>
                </c:pt>
                <c:pt idx="4">
                  <c:v>Turkey</c:v>
                </c:pt>
              </c:strCache>
            </c:strRef>
          </c:cat>
          <c:val>
            <c:numRef>
              <c:f>'Demographic &amp; Academic Profile'!$L$3:$L$7</c:f>
              <c:numCache>
                <c:formatCode>General</c:formatCode>
                <c:ptCount val="5"/>
                <c:pt idx="0">
                  <c:v>2</c:v>
                </c:pt>
                <c:pt idx="1">
                  <c:v>1</c:v>
                </c:pt>
                <c:pt idx="2">
                  <c:v>5</c:v>
                </c:pt>
                <c:pt idx="3">
                  <c:v>1</c:v>
                </c:pt>
                <c:pt idx="4">
                  <c:v>1</c:v>
                </c:pt>
              </c:numCache>
            </c:numRef>
          </c:val>
          <c:extLst>
            <c:ext xmlns:c16="http://schemas.microsoft.com/office/drawing/2014/chart" uri="{C3380CC4-5D6E-409C-BE32-E72D297353CC}">
              <c16:uniqueId val="{00000000-0B7E-428C-90B0-4FCE93FD5C3D}"/>
            </c:ext>
          </c:extLst>
        </c:ser>
        <c:ser>
          <c:idx val="1"/>
          <c:order val="1"/>
          <c:tx>
            <c:strRef>
              <c:f>'Demographic &amp; Academic Profile'!$M$1:$M$2</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Profile'!$K$3:$K$7</c:f>
              <c:strCache>
                <c:ptCount val="5"/>
                <c:pt idx="0">
                  <c:v>Canada</c:v>
                </c:pt>
                <c:pt idx="1">
                  <c:v>Denmark</c:v>
                </c:pt>
                <c:pt idx="2">
                  <c:v>India</c:v>
                </c:pt>
                <c:pt idx="3">
                  <c:v>Mexico</c:v>
                </c:pt>
                <c:pt idx="4">
                  <c:v>Turkey</c:v>
                </c:pt>
              </c:strCache>
            </c:strRef>
          </c:cat>
          <c:val>
            <c:numRef>
              <c:f>'Demographic &amp; Academic Profile'!$M$3:$M$7</c:f>
              <c:numCache>
                <c:formatCode>General</c:formatCode>
                <c:ptCount val="5"/>
                <c:pt idx="0">
                  <c:v>29</c:v>
                </c:pt>
                <c:pt idx="1">
                  <c:v>20</c:v>
                </c:pt>
                <c:pt idx="2">
                  <c:v>31</c:v>
                </c:pt>
                <c:pt idx="3">
                  <c:v>21</c:v>
                </c:pt>
                <c:pt idx="4">
                  <c:v>20</c:v>
                </c:pt>
              </c:numCache>
            </c:numRef>
          </c:val>
          <c:extLst>
            <c:ext xmlns:c16="http://schemas.microsoft.com/office/drawing/2014/chart" uri="{C3380CC4-5D6E-409C-BE32-E72D297353CC}">
              <c16:uniqueId val="{00000001-0B7E-428C-90B0-4FCE93FD5C3D}"/>
            </c:ext>
          </c:extLst>
        </c:ser>
        <c:dLbls>
          <c:dLblPos val="outEnd"/>
          <c:showLegendKey val="0"/>
          <c:showVal val="1"/>
          <c:showCatName val="0"/>
          <c:showSerName val="0"/>
          <c:showPercent val="0"/>
          <c:showBubbleSize val="0"/>
        </c:dLbls>
        <c:gapWidth val="65"/>
        <c:axId val="1921634896"/>
        <c:axId val="1921628656"/>
      </c:barChart>
      <c:catAx>
        <c:axId val="1921634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1628656"/>
        <c:crosses val="autoZero"/>
        <c:auto val="1"/>
        <c:lblAlgn val="ctr"/>
        <c:lblOffset val="100"/>
        <c:noMultiLvlLbl val="0"/>
      </c:catAx>
      <c:valAx>
        <c:axId val="1921628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163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1c</c:name>
    <c:fmtId val="3"/>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US" sz="1600" baseline="0">
                <a:solidFill>
                  <a:schemeClr val="tx1">
                    <a:lumMod val="50000"/>
                    <a:lumOff val="50000"/>
                  </a:schemeClr>
                </a:solidFill>
              </a:rPr>
              <a:t>Academic Level Representation</a:t>
            </a:r>
          </a:p>
        </c:rich>
      </c:tx>
      <c:layout>
        <c:manualLayout>
          <c:xMode val="edge"/>
          <c:yMode val="edge"/>
          <c:x val="0.23810457866161475"/>
          <c:y val="0.1462667576850359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Profile'!$P$2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Profile'!$O$3:$O$5</c:f>
              <c:strCache>
                <c:ptCount val="3"/>
                <c:pt idx="0">
                  <c:v>Graduate</c:v>
                </c:pt>
                <c:pt idx="1">
                  <c:v>High School</c:v>
                </c:pt>
                <c:pt idx="2">
                  <c:v>Undergraduate</c:v>
                </c:pt>
              </c:strCache>
            </c:strRef>
          </c:cat>
          <c:val>
            <c:numRef>
              <c:f>'Demographic &amp; Academic Profile'!$P$3:$P$5</c:f>
              <c:numCache>
                <c:formatCode>General</c:formatCode>
                <c:ptCount val="3"/>
                <c:pt idx="0">
                  <c:v>325</c:v>
                </c:pt>
                <c:pt idx="1">
                  <c:v>27</c:v>
                </c:pt>
                <c:pt idx="2">
                  <c:v>353</c:v>
                </c:pt>
              </c:numCache>
            </c:numRef>
          </c:val>
          <c:extLst>
            <c:ext xmlns:c16="http://schemas.microsoft.com/office/drawing/2014/chart" uri="{C3380CC4-5D6E-409C-BE32-E72D297353CC}">
              <c16:uniqueId val="{00000000-C69C-4D54-8467-F40FDD08CCC5}"/>
            </c:ext>
          </c:extLst>
        </c:ser>
        <c:dLbls>
          <c:dLblPos val="inEnd"/>
          <c:showLegendKey val="0"/>
          <c:showVal val="1"/>
          <c:showCatName val="0"/>
          <c:showSerName val="0"/>
          <c:showPercent val="0"/>
          <c:showBubbleSize val="0"/>
        </c:dLbls>
        <c:gapWidth val="65"/>
        <c:axId val="1357735904"/>
        <c:axId val="1283579056"/>
      </c:barChart>
      <c:catAx>
        <c:axId val="1357735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3579056"/>
        <c:crosses val="autoZero"/>
        <c:auto val="1"/>
        <c:lblAlgn val="ctr"/>
        <c:lblOffset val="100"/>
        <c:noMultiLvlLbl val="0"/>
      </c:catAx>
      <c:valAx>
        <c:axId val="1283579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77359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Addiction.xlsx]Demographic &amp; Academic Profile!Question 1d</c:name>
    <c:fmtId val="11"/>
  </c:pivotSource>
  <c:chart>
    <c:title>
      <c:tx>
        <c:rich>
          <a:bodyPr rot="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r>
              <a:rPr lang="en-IN" sz="1400">
                <a:solidFill>
                  <a:schemeClr val="tx1">
                    <a:lumMod val="50000"/>
                    <a:lumOff val="50000"/>
                  </a:schemeClr>
                </a:solidFill>
              </a:rPr>
              <a:t>Academic</a:t>
            </a:r>
            <a:r>
              <a:rPr lang="en-IN" sz="1400" baseline="0">
                <a:solidFill>
                  <a:schemeClr val="tx1">
                    <a:lumMod val="50000"/>
                    <a:lumOff val="50000"/>
                  </a:schemeClr>
                </a:solidFill>
              </a:rPr>
              <a:t> Distribution By Country</a:t>
            </a:r>
            <a:endParaRPr lang="en-IN" sz="1400">
              <a:solidFill>
                <a:schemeClr val="tx1">
                  <a:lumMod val="50000"/>
                  <a:lumOff val="50000"/>
                </a:schemeClr>
              </a:solidFill>
            </a:endParaRPr>
          </a:p>
        </c:rich>
      </c:tx>
      <c:layout>
        <c:manualLayout>
          <c:xMode val="edge"/>
          <c:yMode val="edge"/>
          <c:x val="0.18487286402541933"/>
          <c:y val="8.095503462793464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alpha val="85000"/>
            </a:schemeClr>
          </a:solidFill>
          <a:ln w="9525" cap="flat" cmpd="sng" algn="ctr">
            <a:solidFill>
              <a:schemeClr val="lt1">
                <a:alpha val="50000"/>
              </a:schemeClr>
            </a:solidFill>
            <a:round/>
          </a:ln>
          <a:effectLst/>
        </c:spPr>
        <c:marker>
          <c:symbol val="none"/>
        </c:marker>
      </c:pivotFmt>
      <c:pivotFmt>
        <c:idx val="1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Academic Profile'!$T$2:$T$3</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Profile'!$S$4:$S$13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'Demographic &amp; Academic Profile'!$T$4:$T$13</c:f>
              <c:numCache>
                <c:formatCode>General</c:formatCode>
                <c:ptCount val="10"/>
                <c:pt idx="0">
                  <c:v>4</c:v>
                </c:pt>
                <c:pt idx="1">
                  <c:v>4</c:v>
                </c:pt>
                <c:pt idx="2">
                  <c:v>22</c:v>
                </c:pt>
                <c:pt idx="3">
                  <c:v>20</c:v>
                </c:pt>
                <c:pt idx="4">
                  <c:v>23</c:v>
                </c:pt>
                <c:pt idx="5">
                  <c:v>5</c:v>
                </c:pt>
                <c:pt idx="6">
                  <c:v>23</c:v>
                </c:pt>
                <c:pt idx="7">
                  <c:v>23</c:v>
                </c:pt>
                <c:pt idx="8">
                  <c:v>5</c:v>
                </c:pt>
                <c:pt idx="9">
                  <c:v>36</c:v>
                </c:pt>
              </c:numCache>
            </c:numRef>
          </c:val>
          <c:extLst>
            <c:ext xmlns:c16="http://schemas.microsoft.com/office/drawing/2014/chart" uri="{C3380CC4-5D6E-409C-BE32-E72D297353CC}">
              <c16:uniqueId val="{00000000-3952-48B1-BB23-E9C117F10F40}"/>
            </c:ext>
          </c:extLst>
        </c:ser>
        <c:ser>
          <c:idx val="1"/>
          <c:order val="1"/>
          <c:tx>
            <c:strRef>
              <c:f>'Demographic &amp; Academic Profile'!$U$2:$U$3</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Academic Profile'!$S$4:$S$13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'Demographic &amp; Academic Profile'!$U$4:$U$13</c:f>
              <c:numCache>
                <c:formatCode>General</c:formatCode>
                <c:ptCount val="10"/>
                <c:pt idx="0">
                  <c:v>30</c:v>
                </c:pt>
                <c:pt idx="1">
                  <c:v>23</c:v>
                </c:pt>
                <c:pt idx="2">
                  <c:v>5</c:v>
                </c:pt>
                <c:pt idx="3">
                  <c:v>33</c:v>
                </c:pt>
                <c:pt idx="4">
                  <c:v>4</c:v>
                </c:pt>
                <c:pt idx="5">
                  <c:v>22</c:v>
                </c:pt>
                <c:pt idx="6">
                  <c:v>4</c:v>
                </c:pt>
                <c:pt idx="7">
                  <c:v>4</c:v>
                </c:pt>
                <c:pt idx="8">
                  <c:v>22</c:v>
                </c:pt>
                <c:pt idx="9">
                  <c:v>4</c:v>
                </c:pt>
              </c:numCache>
            </c:numRef>
          </c:val>
          <c:extLst>
            <c:ext xmlns:c16="http://schemas.microsoft.com/office/drawing/2014/chart" uri="{C3380CC4-5D6E-409C-BE32-E72D297353CC}">
              <c16:uniqueId val="{00000000-0002-412A-9323-745E8E61EC7A}"/>
            </c:ext>
          </c:extLst>
        </c:ser>
        <c:dLbls>
          <c:dLblPos val="outEnd"/>
          <c:showLegendKey val="0"/>
          <c:showVal val="1"/>
          <c:showCatName val="0"/>
          <c:showSerName val="0"/>
          <c:showPercent val="0"/>
          <c:showBubbleSize val="0"/>
        </c:dLbls>
        <c:gapWidth val="65"/>
        <c:axId val="9874880"/>
        <c:axId val="9882080"/>
      </c:barChart>
      <c:catAx>
        <c:axId val="9874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82080"/>
        <c:crosses val="autoZero"/>
        <c:auto val="1"/>
        <c:lblAlgn val="ctr"/>
        <c:lblOffset val="100"/>
        <c:noMultiLvlLbl val="0"/>
      </c:catAx>
      <c:valAx>
        <c:axId val="9882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74880"/>
        <c:crosses val="autoZero"/>
        <c:crossBetween val="between"/>
      </c:valAx>
      <c:spPr>
        <a:noFill/>
        <a:ln>
          <a:noFill/>
        </a:ln>
        <a:effectLst/>
      </c:spPr>
    </c:plotArea>
    <c:legend>
      <c:legendPos val="r"/>
      <c:overlay val="0"/>
      <c:spPr>
        <a:solidFill>
          <a:schemeClr val="lt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Usage Patterns'!$B$1</c:f>
              <c:strCache>
                <c:ptCount val="1"/>
                <c:pt idx="0">
                  <c:v>Total</c:v>
                </c:pt>
              </c:strCache>
            </c:strRef>
          </c:tx>
          <c:spPr>
            <a:solidFill>
              <a:schemeClr val="accent1"/>
            </a:solidFill>
            <a:ln>
              <a:noFill/>
            </a:ln>
            <a:effectLst/>
          </c:spPr>
          <c:invertIfNegative val="0"/>
          <c:cat>
            <c:strRef>
              <c:f>'Social Media Usage Patterns'!$A$2:$A$7</c:f>
              <c:strCache>
                <c:ptCount val="6"/>
                <c:pt idx="0">
                  <c:v>Facebook</c:v>
                </c:pt>
                <c:pt idx="1">
                  <c:v>Instagram</c:v>
                </c:pt>
                <c:pt idx="2">
                  <c:v>LinkedIn</c:v>
                </c:pt>
                <c:pt idx="3">
                  <c:v>Snapchat</c:v>
                </c:pt>
                <c:pt idx="4">
                  <c:v>TikTok</c:v>
                </c:pt>
                <c:pt idx="5">
                  <c:v>YouTube</c:v>
                </c:pt>
              </c:strCache>
            </c:strRef>
          </c:cat>
          <c:val>
            <c:numRef>
              <c:f>'Social Media Usage Patterns'!$B$2:$B$7</c:f>
              <c:numCache>
                <c:formatCode>General</c:formatCode>
                <c:ptCount val="6"/>
                <c:pt idx="0">
                  <c:v>1</c:v>
                </c:pt>
                <c:pt idx="1">
                  <c:v>10</c:v>
                </c:pt>
                <c:pt idx="2">
                  <c:v>5</c:v>
                </c:pt>
                <c:pt idx="3">
                  <c:v>4</c:v>
                </c:pt>
                <c:pt idx="4">
                  <c:v>8</c:v>
                </c:pt>
                <c:pt idx="5">
                  <c:v>4</c:v>
                </c:pt>
              </c:numCache>
            </c:numRef>
          </c:val>
          <c:extLst>
            <c:ext xmlns:c16="http://schemas.microsoft.com/office/drawing/2014/chart" uri="{C3380CC4-5D6E-409C-BE32-E72D297353CC}">
              <c16:uniqueId val="{00000000-F1EA-4879-B1BB-77E13C425EA4}"/>
            </c:ext>
          </c:extLst>
        </c:ser>
        <c:dLbls>
          <c:showLegendKey val="0"/>
          <c:showVal val="0"/>
          <c:showCatName val="0"/>
          <c:showSerName val="0"/>
          <c:showPercent val="0"/>
          <c:showBubbleSize val="0"/>
        </c:dLbls>
        <c:gapWidth val="219"/>
        <c:overlap val="-27"/>
        <c:axId val="740444160"/>
        <c:axId val="740453280"/>
      </c:barChart>
      <c:catAx>
        <c:axId val="74044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53280"/>
        <c:crosses val="autoZero"/>
        <c:auto val="1"/>
        <c:lblAlgn val="ctr"/>
        <c:lblOffset val="100"/>
        <c:noMultiLvlLbl val="0"/>
      </c:catAx>
      <c:valAx>
        <c:axId val="7404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4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2c</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Usage Patterns'!$J$2:$J$3</c:f>
              <c:strCache>
                <c:ptCount val="1"/>
                <c:pt idx="0">
                  <c:v>Female</c:v>
                </c:pt>
              </c:strCache>
            </c:strRef>
          </c:tx>
          <c:spPr>
            <a:solidFill>
              <a:schemeClr val="accent1"/>
            </a:solidFill>
            <a:ln>
              <a:noFill/>
            </a:ln>
            <a:effectLst/>
          </c:spPr>
          <c:invertIfNegative val="0"/>
          <c:cat>
            <c:strRef>
              <c:f>'Social Media Usage Patterns'!$I$4:$I$9</c:f>
              <c:strCache>
                <c:ptCount val="6"/>
                <c:pt idx="0">
                  <c:v>Facebook</c:v>
                </c:pt>
                <c:pt idx="1">
                  <c:v>Instagram</c:v>
                </c:pt>
                <c:pt idx="2">
                  <c:v>LinkedIn</c:v>
                </c:pt>
                <c:pt idx="3">
                  <c:v>Snapchat</c:v>
                </c:pt>
                <c:pt idx="4">
                  <c:v>TikTok</c:v>
                </c:pt>
                <c:pt idx="5">
                  <c:v>YouTube</c:v>
                </c:pt>
              </c:strCache>
            </c:strRef>
          </c:cat>
          <c:val>
            <c:numRef>
              <c:f>'Social Media Usage Patterns'!$J$4:$J$9</c:f>
              <c:numCache>
                <c:formatCode>General</c:formatCode>
                <c:ptCount val="6"/>
                <c:pt idx="1">
                  <c:v>8</c:v>
                </c:pt>
                <c:pt idx="2">
                  <c:v>2</c:v>
                </c:pt>
                <c:pt idx="3">
                  <c:v>3</c:v>
                </c:pt>
                <c:pt idx="4">
                  <c:v>4</c:v>
                </c:pt>
              </c:numCache>
            </c:numRef>
          </c:val>
          <c:extLst>
            <c:ext xmlns:c16="http://schemas.microsoft.com/office/drawing/2014/chart" uri="{C3380CC4-5D6E-409C-BE32-E72D297353CC}">
              <c16:uniqueId val="{00000000-4D30-47BB-B94D-CFB7A61A62BC}"/>
            </c:ext>
          </c:extLst>
        </c:ser>
        <c:ser>
          <c:idx val="1"/>
          <c:order val="1"/>
          <c:tx>
            <c:strRef>
              <c:f>'Social Media Usage Patterns'!$K$2:$K$3</c:f>
              <c:strCache>
                <c:ptCount val="1"/>
                <c:pt idx="0">
                  <c:v>Male</c:v>
                </c:pt>
              </c:strCache>
            </c:strRef>
          </c:tx>
          <c:spPr>
            <a:solidFill>
              <a:schemeClr val="accent2"/>
            </a:solidFill>
            <a:ln>
              <a:noFill/>
            </a:ln>
            <a:effectLst/>
          </c:spPr>
          <c:invertIfNegative val="0"/>
          <c:cat>
            <c:strRef>
              <c:f>'Social Media Usage Patterns'!$I$4:$I$9</c:f>
              <c:strCache>
                <c:ptCount val="6"/>
                <c:pt idx="0">
                  <c:v>Facebook</c:v>
                </c:pt>
                <c:pt idx="1">
                  <c:v>Instagram</c:v>
                </c:pt>
                <c:pt idx="2">
                  <c:v>LinkedIn</c:v>
                </c:pt>
                <c:pt idx="3">
                  <c:v>Snapchat</c:v>
                </c:pt>
                <c:pt idx="4">
                  <c:v>TikTok</c:v>
                </c:pt>
                <c:pt idx="5">
                  <c:v>YouTube</c:v>
                </c:pt>
              </c:strCache>
            </c:strRef>
          </c:cat>
          <c:val>
            <c:numRef>
              <c:f>'Social Media Usage Patterns'!$K$4:$K$9</c:f>
              <c:numCache>
                <c:formatCode>General</c:formatCode>
                <c:ptCount val="6"/>
                <c:pt idx="0">
                  <c:v>1</c:v>
                </c:pt>
                <c:pt idx="1">
                  <c:v>2</c:v>
                </c:pt>
                <c:pt idx="2">
                  <c:v>3</c:v>
                </c:pt>
                <c:pt idx="3">
                  <c:v>1</c:v>
                </c:pt>
                <c:pt idx="4">
                  <c:v>4</c:v>
                </c:pt>
                <c:pt idx="5">
                  <c:v>4</c:v>
                </c:pt>
              </c:numCache>
            </c:numRef>
          </c:val>
          <c:extLst>
            <c:ext xmlns:c16="http://schemas.microsoft.com/office/drawing/2014/chart" uri="{C3380CC4-5D6E-409C-BE32-E72D297353CC}">
              <c16:uniqueId val="{00000000-1C6C-4387-A69D-D0B93459A060}"/>
            </c:ext>
          </c:extLst>
        </c:ser>
        <c:dLbls>
          <c:showLegendKey val="0"/>
          <c:showVal val="0"/>
          <c:showCatName val="0"/>
          <c:showSerName val="0"/>
          <c:showPercent val="0"/>
          <c:showBubbleSize val="0"/>
        </c:dLbls>
        <c:gapWidth val="219"/>
        <c:overlap val="-27"/>
        <c:axId val="1689620256"/>
        <c:axId val="1689623136"/>
      </c:barChart>
      <c:catAx>
        <c:axId val="16896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3136"/>
        <c:crosses val="autoZero"/>
        <c:auto val="1"/>
        <c:lblAlgn val="ctr"/>
        <c:lblOffset val="100"/>
        <c:noMultiLvlLbl val="0"/>
      </c:catAx>
      <c:valAx>
        <c:axId val="168962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2b</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Usage Patterns'!$G$3</c:f>
              <c:strCache>
                <c:ptCount val="1"/>
                <c:pt idx="0">
                  <c:v>Total</c:v>
                </c:pt>
              </c:strCache>
            </c:strRef>
          </c:tx>
          <c:spPr>
            <a:solidFill>
              <a:schemeClr val="accent1"/>
            </a:solidFill>
            <a:ln>
              <a:noFill/>
            </a:ln>
            <a:effectLst/>
          </c:spPr>
          <c:invertIfNegative val="0"/>
          <c:cat>
            <c:strRef>
              <c:f>'Social Media Usage Patterns'!$F$4:$F$10</c:f>
              <c:strCache>
                <c:ptCount val="7"/>
                <c:pt idx="0">
                  <c:v>18</c:v>
                </c:pt>
                <c:pt idx="1">
                  <c:v>19</c:v>
                </c:pt>
                <c:pt idx="2">
                  <c:v>20</c:v>
                </c:pt>
                <c:pt idx="3">
                  <c:v>21</c:v>
                </c:pt>
                <c:pt idx="4">
                  <c:v>22</c:v>
                </c:pt>
                <c:pt idx="5">
                  <c:v>23</c:v>
                </c:pt>
                <c:pt idx="6">
                  <c:v>24</c:v>
                </c:pt>
              </c:strCache>
            </c:strRef>
          </c:cat>
          <c:val>
            <c:numRef>
              <c:f>'Social Media Usage Patterns'!$G$4:$G$10</c:f>
              <c:numCache>
                <c:formatCode>0.00</c:formatCode>
                <c:ptCount val="7"/>
                <c:pt idx="0">
                  <c:v>5.65</c:v>
                </c:pt>
                <c:pt idx="1">
                  <c:v>5.541666666666667</c:v>
                </c:pt>
                <c:pt idx="2">
                  <c:v>4.7</c:v>
                </c:pt>
                <c:pt idx="3">
                  <c:v>4.2</c:v>
                </c:pt>
                <c:pt idx="4">
                  <c:v>2.8499999999999996</c:v>
                </c:pt>
                <c:pt idx="5">
                  <c:v>2.5499999999999998</c:v>
                </c:pt>
                <c:pt idx="6">
                  <c:v>2.4</c:v>
                </c:pt>
              </c:numCache>
            </c:numRef>
          </c:val>
          <c:extLst>
            <c:ext xmlns:c16="http://schemas.microsoft.com/office/drawing/2014/chart" uri="{C3380CC4-5D6E-409C-BE32-E72D297353CC}">
              <c16:uniqueId val="{00000000-E137-4555-BBA8-78B895D6A718}"/>
            </c:ext>
          </c:extLst>
        </c:ser>
        <c:dLbls>
          <c:showLegendKey val="0"/>
          <c:showVal val="0"/>
          <c:showCatName val="0"/>
          <c:showSerName val="0"/>
          <c:showPercent val="0"/>
          <c:showBubbleSize val="0"/>
        </c:dLbls>
        <c:gapWidth val="219"/>
        <c:overlap val="-27"/>
        <c:axId val="1690926192"/>
        <c:axId val="138438688"/>
      </c:barChart>
      <c:catAx>
        <c:axId val="169092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8688"/>
        <c:crosses val="autoZero"/>
        <c:auto val="1"/>
        <c:lblAlgn val="ctr"/>
        <c:lblOffset val="100"/>
        <c:noMultiLvlLbl val="0"/>
      </c:catAx>
      <c:valAx>
        <c:axId val="138438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92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2a</c:name>
    <c:fmtId val="4"/>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US" sz="1600">
                <a:solidFill>
                  <a:schemeClr val="tx1">
                    <a:lumMod val="50000"/>
                    <a:lumOff val="50000"/>
                  </a:schemeClr>
                </a:solidFill>
              </a:rPr>
              <a:t>Most</a:t>
            </a:r>
            <a:r>
              <a:rPr lang="en-US" sz="1600" baseline="0">
                <a:solidFill>
                  <a:schemeClr val="tx1">
                    <a:lumMod val="50000"/>
                    <a:lumOff val="50000"/>
                  </a:schemeClr>
                </a:solidFill>
              </a:rPr>
              <a:t> Used Social Media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Usage Patterns'!$B$1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'Social Media Usage Patterns'!$A$2:$A$7</c:f>
              <c:strCache>
                <c:ptCount val="6"/>
                <c:pt idx="0">
                  <c:v>Facebook</c:v>
                </c:pt>
                <c:pt idx="1">
                  <c:v>Instagram</c:v>
                </c:pt>
                <c:pt idx="2">
                  <c:v>LinkedIn</c:v>
                </c:pt>
                <c:pt idx="3">
                  <c:v>Snapchat</c:v>
                </c:pt>
                <c:pt idx="4">
                  <c:v>TikTok</c:v>
                </c:pt>
                <c:pt idx="5">
                  <c:v>YouTube</c:v>
                </c:pt>
              </c:strCache>
            </c:strRef>
          </c:cat>
          <c:val>
            <c:numRef>
              <c:f>'Social Media Usage Patterns'!$B$2:$B$7</c:f>
              <c:numCache>
                <c:formatCode>General</c:formatCode>
                <c:ptCount val="6"/>
                <c:pt idx="0">
                  <c:v>1</c:v>
                </c:pt>
                <c:pt idx="1">
                  <c:v>10</c:v>
                </c:pt>
                <c:pt idx="2">
                  <c:v>5</c:v>
                </c:pt>
                <c:pt idx="3">
                  <c:v>4</c:v>
                </c:pt>
                <c:pt idx="4">
                  <c:v>8</c:v>
                </c:pt>
                <c:pt idx="5">
                  <c:v>4</c:v>
                </c:pt>
              </c:numCache>
            </c:numRef>
          </c:val>
          <c:extLst>
            <c:ext xmlns:c16="http://schemas.microsoft.com/office/drawing/2014/chart" uri="{C3380CC4-5D6E-409C-BE32-E72D297353CC}">
              <c16:uniqueId val="{00000000-9052-47FD-A9FB-19D54DC138A5}"/>
            </c:ext>
          </c:extLst>
        </c:ser>
        <c:dLbls>
          <c:dLblPos val="outEnd"/>
          <c:showLegendKey val="0"/>
          <c:showVal val="1"/>
          <c:showCatName val="0"/>
          <c:showSerName val="0"/>
          <c:showPercent val="0"/>
          <c:showBubbleSize val="0"/>
        </c:dLbls>
        <c:gapWidth val="65"/>
        <c:axId val="740444160"/>
        <c:axId val="740453280"/>
      </c:barChart>
      <c:catAx>
        <c:axId val="740444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0453280"/>
        <c:crosses val="autoZero"/>
        <c:auto val="1"/>
        <c:lblAlgn val="ctr"/>
        <c:lblOffset val="100"/>
        <c:noMultiLvlLbl val="0"/>
      </c:catAx>
      <c:valAx>
        <c:axId val="7404532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40444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Used Platform By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40416669205346E-2"/>
          <c:y val="7.3971117391538832E-2"/>
          <c:w val="0.76843237249203356"/>
          <c:h val="0.76547408976638265"/>
        </c:manualLayout>
      </c:layout>
      <c:barChart>
        <c:barDir val="col"/>
        <c:grouping val="clustered"/>
        <c:varyColors val="0"/>
        <c:ser>
          <c:idx val="0"/>
          <c:order val="0"/>
          <c:tx>
            <c:strRef>
              <c:f>'Social Media Usage Patterns'!$J$2:$J$3</c:f>
              <c:strCache>
                <c:ptCount val="1"/>
                <c:pt idx="0">
                  <c:v>Female</c:v>
                </c:pt>
              </c:strCache>
            </c:strRef>
          </c:tx>
          <c:spPr>
            <a:solidFill>
              <a:schemeClr val="accent1"/>
            </a:solidFill>
            <a:ln>
              <a:noFill/>
            </a:ln>
            <a:effectLst/>
          </c:spPr>
          <c:invertIfNegative val="0"/>
          <c:cat>
            <c:strRef>
              <c:f>'Social Media Usage Patterns'!$I$4:$I$9</c:f>
              <c:strCache>
                <c:ptCount val="6"/>
                <c:pt idx="0">
                  <c:v>Facebook</c:v>
                </c:pt>
                <c:pt idx="1">
                  <c:v>Instagram</c:v>
                </c:pt>
                <c:pt idx="2">
                  <c:v>LinkedIn</c:v>
                </c:pt>
                <c:pt idx="3">
                  <c:v>Snapchat</c:v>
                </c:pt>
                <c:pt idx="4">
                  <c:v>TikTok</c:v>
                </c:pt>
                <c:pt idx="5">
                  <c:v>YouTube</c:v>
                </c:pt>
              </c:strCache>
            </c:strRef>
          </c:cat>
          <c:val>
            <c:numRef>
              <c:f>'Social Media Usage Patterns'!$J$4:$J$9</c:f>
              <c:numCache>
                <c:formatCode>General</c:formatCode>
                <c:ptCount val="6"/>
                <c:pt idx="1">
                  <c:v>8</c:v>
                </c:pt>
                <c:pt idx="2">
                  <c:v>2</c:v>
                </c:pt>
                <c:pt idx="3">
                  <c:v>3</c:v>
                </c:pt>
                <c:pt idx="4">
                  <c:v>4</c:v>
                </c:pt>
              </c:numCache>
            </c:numRef>
          </c:val>
          <c:extLst>
            <c:ext xmlns:c16="http://schemas.microsoft.com/office/drawing/2014/chart" uri="{C3380CC4-5D6E-409C-BE32-E72D297353CC}">
              <c16:uniqueId val="{00000000-0A5E-45A1-B509-B8C83512DE92}"/>
            </c:ext>
          </c:extLst>
        </c:ser>
        <c:ser>
          <c:idx val="1"/>
          <c:order val="1"/>
          <c:tx>
            <c:strRef>
              <c:f>'Social Media Usage Patterns'!$K$2:$K$3</c:f>
              <c:strCache>
                <c:ptCount val="1"/>
                <c:pt idx="0">
                  <c:v>Male</c:v>
                </c:pt>
              </c:strCache>
            </c:strRef>
          </c:tx>
          <c:spPr>
            <a:solidFill>
              <a:schemeClr val="accent2"/>
            </a:solidFill>
            <a:ln>
              <a:noFill/>
            </a:ln>
            <a:effectLst/>
          </c:spPr>
          <c:invertIfNegative val="0"/>
          <c:cat>
            <c:strRef>
              <c:f>'Social Media Usage Patterns'!$I$4:$I$9</c:f>
              <c:strCache>
                <c:ptCount val="6"/>
                <c:pt idx="0">
                  <c:v>Facebook</c:v>
                </c:pt>
                <c:pt idx="1">
                  <c:v>Instagram</c:v>
                </c:pt>
                <c:pt idx="2">
                  <c:v>LinkedIn</c:v>
                </c:pt>
                <c:pt idx="3">
                  <c:v>Snapchat</c:v>
                </c:pt>
                <c:pt idx="4">
                  <c:v>TikTok</c:v>
                </c:pt>
                <c:pt idx="5">
                  <c:v>YouTube</c:v>
                </c:pt>
              </c:strCache>
            </c:strRef>
          </c:cat>
          <c:val>
            <c:numRef>
              <c:f>'Social Media Usage Patterns'!$K$4:$K$9</c:f>
              <c:numCache>
                <c:formatCode>General</c:formatCode>
                <c:ptCount val="6"/>
                <c:pt idx="0">
                  <c:v>1</c:v>
                </c:pt>
                <c:pt idx="1">
                  <c:v>2</c:v>
                </c:pt>
                <c:pt idx="2">
                  <c:v>3</c:v>
                </c:pt>
                <c:pt idx="3">
                  <c:v>1</c:v>
                </c:pt>
                <c:pt idx="4">
                  <c:v>4</c:v>
                </c:pt>
                <c:pt idx="5">
                  <c:v>4</c:v>
                </c:pt>
              </c:numCache>
            </c:numRef>
          </c:val>
          <c:extLst>
            <c:ext xmlns:c16="http://schemas.microsoft.com/office/drawing/2014/chart" uri="{C3380CC4-5D6E-409C-BE32-E72D297353CC}">
              <c16:uniqueId val="{00000000-AA06-44D2-8F0E-10C3FB9422E8}"/>
            </c:ext>
          </c:extLst>
        </c:ser>
        <c:dLbls>
          <c:showLegendKey val="0"/>
          <c:showVal val="0"/>
          <c:showCatName val="0"/>
          <c:showSerName val="0"/>
          <c:showPercent val="0"/>
          <c:showBubbleSize val="0"/>
        </c:dLbls>
        <c:gapWidth val="219"/>
        <c:overlap val="-27"/>
        <c:axId val="1689620256"/>
        <c:axId val="1689623136"/>
      </c:barChart>
      <c:catAx>
        <c:axId val="16896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3136"/>
        <c:crosses val="autoZero"/>
        <c:auto val="1"/>
        <c:lblAlgn val="ctr"/>
        <c:lblOffset val="100"/>
        <c:noMultiLvlLbl val="0"/>
      </c:catAx>
      <c:valAx>
        <c:axId val="168962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Addiction.xlsx]Social Media Usage Patterns!Question 2b</c:name>
    <c:fmtId val="2"/>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IN" sz="1600">
                <a:solidFill>
                  <a:schemeClr val="tx1">
                    <a:lumMod val="50000"/>
                    <a:lumOff val="50000"/>
                  </a:schemeClr>
                </a:solidFill>
              </a:rPr>
              <a:t>Average</a:t>
            </a:r>
            <a:r>
              <a:rPr lang="en-IN" sz="1600" baseline="0">
                <a:solidFill>
                  <a:schemeClr val="tx1">
                    <a:lumMod val="50000"/>
                    <a:lumOff val="50000"/>
                  </a:schemeClr>
                </a:solidFill>
              </a:rPr>
              <a:t> Daily Usage Hrs by Age</a:t>
            </a:r>
            <a:endParaRPr lang="en-IN" sz="16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Usage Patterns'!$G$3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'Social Media Usage Patterns'!$F$4:$F$10</c:f>
              <c:strCache>
                <c:ptCount val="7"/>
                <c:pt idx="0">
                  <c:v>18</c:v>
                </c:pt>
                <c:pt idx="1">
                  <c:v>19</c:v>
                </c:pt>
                <c:pt idx="2">
                  <c:v>20</c:v>
                </c:pt>
                <c:pt idx="3">
                  <c:v>21</c:v>
                </c:pt>
                <c:pt idx="4">
                  <c:v>22</c:v>
                </c:pt>
                <c:pt idx="5">
                  <c:v>23</c:v>
                </c:pt>
                <c:pt idx="6">
                  <c:v>24</c:v>
                </c:pt>
              </c:strCache>
            </c:strRef>
          </c:cat>
          <c:val>
            <c:numRef>
              <c:f>'Social Media Usage Patterns'!$G$4:$G$10</c:f>
              <c:numCache>
                <c:formatCode>0.00</c:formatCode>
                <c:ptCount val="7"/>
                <c:pt idx="0">
                  <c:v>5.65</c:v>
                </c:pt>
                <c:pt idx="1">
                  <c:v>5.541666666666667</c:v>
                </c:pt>
                <c:pt idx="2">
                  <c:v>4.7</c:v>
                </c:pt>
                <c:pt idx="3">
                  <c:v>4.2</c:v>
                </c:pt>
                <c:pt idx="4">
                  <c:v>2.8499999999999996</c:v>
                </c:pt>
                <c:pt idx="5">
                  <c:v>2.5499999999999998</c:v>
                </c:pt>
                <c:pt idx="6">
                  <c:v>2.4</c:v>
                </c:pt>
              </c:numCache>
            </c:numRef>
          </c:val>
          <c:extLst>
            <c:ext xmlns:c16="http://schemas.microsoft.com/office/drawing/2014/chart" uri="{C3380CC4-5D6E-409C-BE32-E72D297353CC}">
              <c16:uniqueId val="{00000000-1404-457C-9D93-1E7ABC3925C1}"/>
            </c:ext>
          </c:extLst>
        </c:ser>
        <c:dLbls>
          <c:dLblPos val="outEnd"/>
          <c:showLegendKey val="0"/>
          <c:showVal val="1"/>
          <c:showCatName val="0"/>
          <c:showSerName val="0"/>
          <c:showPercent val="0"/>
          <c:showBubbleSize val="0"/>
        </c:dLbls>
        <c:gapWidth val="65"/>
        <c:axId val="1690926192"/>
        <c:axId val="138438688"/>
      </c:barChart>
      <c:catAx>
        <c:axId val="16909261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438688"/>
        <c:crosses val="autoZero"/>
        <c:auto val="1"/>
        <c:lblAlgn val="ctr"/>
        <c:lblOffset val="100"/>
        <c:noMultiLvlLbl val="0"/>
      </c:catAx>
      <c:valAx>
        <c:axId val="138438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909261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3a</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on Academic Performance'!$B$1:$B$2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Performance'!$A$3:$A$7</c:f>
              <c:strCache>
                <c:ptCount val="5"/>
                <c:pt idx="0">
                  <c:v>4.4</c:v>
                </c:pt>
                <c:pt idx="1">
                  <c:v>4.5</c:v>
                </c:pt>
                <c:pt idx="2">
                  <c:v>4.6</c:v>
                </c:pt>
                <c:pt idx="3">
                  <c:v>4.7</c:v>
                </c:pt>
                <c:pt idx="4">
                  <c:v>4.8</c:v>
                </c:pt>
              </c:strCache>
            </c:strRef>
          </c:cat>
          <c:val>
            <c:numRef>
              <c:f>'Impact on Academic Performance'!$B$3:$B$7</c:f>
              <c:numCache>
                <c:formatCode>General</c:formatCode>
                <c:ptCount val="5"/>
                <c:pt idx="0">
                  <c:v>15</c:v>
                </c:pt>
                <c:pt idx="1">
                  <c:v>15</c:v>
                </c:pt>
                <c:pt idx="2">
                  <c:v>11</c:v>
                </c:pt>
                <c:pt idx="3">
                  <c:v>12</c:v>
                </c:pt>
                <c:pt idx="4">
                  <c:v>12</c:v>
                </c:pt>
              </c:numCache>
            </c:numRef>
          </c:val>
          <c:extLst>
            <c:ext xmlns:c16="http://schemas.microsoft.com/office/drawing/2014/chart" uri="{C3380CC4-5D6E-409C-BE32-E72D297353CC}">
              <c16:uniqueId val="{00000000-2E89-4973-9F6E-2068C9AC4867}"/>
            </c:ext>
          </c:extLst>
        </c:ser>
        <c:ser>
          <c:idx val="1"/>
          <c:order val="1"/>
          <c:tx>
            <c:strRef>
              <c:f>'Impact on Academic Performance'!$C$1:$C$2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Performance'!$A$3:$A$7</c:f>
              <c:strCache>
                <c:ptCount val="5"/>
                <c:pt idx="0">
                  <c:v>4.4</c:v>
                </c:pt>
                <c:pt idx="1">
                  <c:v>4.5</c:v>
                </c:pt>
                <c:pt idx="2">
                  <c:v>4.6</c:v>
                </c:pt>
                <c:pt idx="3">
                  <c:v>4.7</c:v>
                </c:pt>
                <c:pt idx="4">
                  <c:v>4.8</c:v>
                </c:pt>
              </c:strCache>
            </c:strRef>
          </c:cat>
          <c:val>
            <c:numRef>
              <c:f>'Impact on Academic Performance'!$C$3:$C$7</c:f>
              <c:numCache>
                <c:formatCode>General</c:formatCode>
                <c:ptCount val="5"/>
                <c:pt idx="0">
                  <c:v>12</c:v>
                </c:pt>
                <c:pt idx="1">
                  <c:v>15</c:v>
                </c:pt>
                <c:pt idx="2">
                  <c:v>17</c:v>
                </c:pt>
                <c:pt idx="3">
                  <c:v>19</c:v>
                </c:pt>
                <c:pt idx="4">
                  <c:v>17</c:v>
                </c:pt>
              </c:numCache>
            </c:numRef>
          </c:val>
          <c:extLst>
            <c:ext xmlns:c16="http://schemas.microsoft.com/office/drawing/2014/chart" uri="{C3380CC4-5D6E-409C-BE32-E72D297353CC}">
              <c16:uniqueId val="{00000001-2E89-4973-9F6E-2068C9AC4867}"/>
            </c:ext>
          </c:extLst>
        </c:ser>
        <c:dLbls>
          <c:dLblPos val="outEnd"/>
          <c:showLegendKey val="0"/>
          <c:showVal val="1"/>
          <c:showCatName val="0"/>
          <c:showSerName val="0"/>
          <c:showPercent val="0"/>
          <c:showBubbleSize val="0"/>
        </c:dLbls>
        <c:gapWidth val="65"/>
        <c:axId val="186832223"/>
        <c:axId val="109520127"/>
      </c:barChart>
      <c:catAx>
        <c:axId val="186832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520127"/>
        <c:crosses val="autoZero"/>
        <c:auto val="1"/>
        <c:lblAlgn val="ctr"/>
        <c:lblOffset val="100"/>
        <c:noMultiLvlLbl val="0"/>
      </c:catAx>
      <c:valAx>
        <c:axId val="109520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832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3b</c:name>
    <c:fmtId val="0"/>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on Academic Performance'!$H$1:$H$2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Performance'!$G$3:$G$5</c:f>
              <c:strCache>
                <c:ptCount val="3"/>
                <c:pt idx="0">
                  <c:v>Graduate</c:v>
                </c:pt>
                <c:pt idx="1">
                  <c:v>High School</c:v>
                </c:pt>
                <c:pt idx="2">
                  <c:v>Undergraduate</c:v>
                </c:pt>
              </c:strCache>
            </c:strRef>
          </c:cat>
          <c:val>
            <c:numRef>
              <c:f>'Impact on Academic Performance'!$H$3:$H$5</c:f>
              <c:numCache>
                <c:formatCode>General</c:formatCode>
                <c:ptCount val="3"/>
                <c:pt idx="0">
                  <c:v>126</c:v>
                </c:pt>
                <c:pt idx="1">
                  <c:v>2</c:v>
                </c:pt>
                <c:pt idx="2">
                  <c:v>124</c:v>
                </c:pt>
              </c:numCache>
            </c:numRef>
          </c:val>
          <c:extLst>
            <c:ext xmlns:c16="http://schemas.microsoft.com/office/drawing/2014/chart" uri="{C3380CC4-5D6E-409C-BE32-E72D297353CC}">
              <c16:uniqueId val="{00000000-C832-4B84-8514-23725110AD5D}"/>
            </c:ext>
          </c:extLst>
        </c:ser>
        <c:ser>
          <c:idx val="1"/>
          <c:order val="1"/>
          <c:tx>
            <c:strRef>
              <c:f>'Impact on Academic Performance'!$I$1:$I$2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Performance'!$G$3:$G$5</c:f>
              <c:strCache>
                <c:ptCount val="3"/>
                <c:pt idx="0">
                  <c:v>Graduate</c:v>
                </c:pt>
                <c:pt idx="1">
                  <c:v>High School</c:v>
                </c:pt>
                <c:pt idx="2">
                  <c:v>Undergraduate</c:v>
                </c:pt>
              </c:strCache>
            </c:strRef>
          </c:cat>
          <c:val>
            <c:numRef>
              <c:f>'Impact on Academic Performance'!$I$3:$I$5</c:f>
              <c:numCache>
                <c:formatCode>General</c:formatCode>
                <c:ptCount val="3"/>
                <c:pt idx="0">
                  <c:v>199</c:v>
                </c:pt>
                <c:pt idx="1">
                  <c:v>25</c:v>
                </c:pt>
                <c:pt idx="2">
                  <c:v>229</c:v>
                </c:pt>
              </c:numCache>
            </c:numRef>
          </c:val>
          <c:extLst>
            <c:ext xmlns:c16="http://schemas.microsoft.com/office/drawing/2014/chart" uri="{C3380CC4-5D6E-409C-BE32-E72D297353CC}">
              <c16:uniqueId val="{00000002-C832-4B84-8514-23725110AD5D}"/>
            </c:ext>
          </c:extLst>
        </c:ser>
        <c:dLbls>
          <c:dLblPos val="outEnd"/>
          <c:showLegendKey val="0"/>
          <c:showVal val="1"/>
          <c:showCatName val="0"/>
          <c:showSerName val="0"/>
          <c:showPercent val="0"/>
          <c:showBubbleSize val="0"/>
        </c:dLbls>
        <c:gapWidth val="65"/>
        <c:axId val="254003167"/>
        <c:axId val="254004607"/>
      </c:barChart>
      <c:catAx>
        <c:axId val="254003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004607"/>
        <c:crosses val="autoZero"/>
        <c:auto val="1"/>
        <c:lblAlgn val="ctr"/>
        <c:lblOffset val="100"/>
        <c:noMultiLvlLbl val="0"/>
      </c:catAx>
      <c:valAx>
        <c:axId val="254004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003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3c</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on Academic Performance'!$M$2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Performance'!$L$3:$L$7</c:f>
              <c:strCache>
                <c:ptCount val="5"/>
                <c:pt idx="0">
                  <c:v>4.4</c:v>
                </c:pt>
                <c:pt idx="1">
                  <c:v>4.5</c:v>
                </c:pt>
                <c:pt idx="2">
                  <c:v>4.6</c:v>
                </c:pt>
                <c:pt idx="3">
                  <c:v>4.7</c:v>
                </c:pt>
                <c:pt idx="4">
                  <c:v>4.8</c:v>
                </c:pt>
              </c:strCache>
            </c:strRef>
          </c:cat>
          <c:val>
            <c:numRef>
              <c:f>'Impact on Academic Performance'!$M$3:$M$7</c:f>
              <c:numCache>
                <c:formatCode>General</c:formatCode>
                <c:ptCount val="5"/>
                <c:pt idx="0">
                  <c:v>27</c:v>
                </c:pt>
                <c:pt idx="1">
                  <c:v>30</c:v>
                </c:pt>
                <c:pt idx="2">
                  <c:v>28</c:v>
                </c:pt>
                <c:pt idx="3">
                  <c:v>31</c:v>
                </c:pt>
                <c:pt idx="4">
                  <c:v>29</c:v>
                </c:pt>
              </c:numCache>
            </c:numRef>
          </c:val>
          <c:extLst>
            <c:ext xmlns:c16="http://schemas.microsoft.com/office/drawing/2014/chart" uri="{C3380CC4-5D6E-409C-BE32-E72D297353CC}">
              <c16:uniqueId val="{00000000-032C-4D00-A5E2-B12177AF48E5}"/>
            </c:ext>
          </c:extLst>
        </c:ser>
        <c:dLbls>
          <c:dLblPos val="outEnd"/>
          <c:showLegendKey val="0"/>
          <c:showVal val="1"/>
          <c:showCatName val="0"/>
          <c:showSerName val="0"/>
          <c:showPercent val="0"/>
          <c:showBubbleSize val="0"/>
        </c:dLbls>
        <c:gapWidth val="65"/>
        <c:axId val="259416959"/>
        <c:axId val="252362735"/>
      </c:barChart>
      <c:catAx>
        <c:axId val="259416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2362735"/>
        <c:crosses val="autoZero"/>
        <c:auto val="1"/>
        <c:lblAlgn val="ctr"/>
        <c:lblOffset val="100"/>
        <c:noMultiLvlLbl val="0"/>
      </c:catAx>
      <c:valAx>
        <c:axId val="252362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94169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3a</c:name>
    <c:fmtId val="3"/>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IN" sz="1600">
                <a:solidFill>
                  <a:schemeClr val="tx1">
                    <a:lumMod val="50000"/>
                    <a:lumOff val="50000"/>
                  </a:schemeClr>
                </a:solidFill>
              </a:rPr>
              <a:t>Academic Performance by Daily Social</a:t>
            </a:r>
            <a:r>
              <a:rPr lang="en-IN" sz="1600" baseline="0">
                <a:solidFill>
                  <a:schemeClr val="tx1">
                    <a:lumMod val="50000"/>
                    <a:lumOff val="50000"/>
                  </a:schemeClr>
                </a:solidFill>
              </a:rPr>
              <a:t> Media Use</a:t>
            </a:r>
            <a:endParaRPr lang="en-IN" sz="1600">
              <a:solidFill>
                <a:schemeClr val="tx1">
                  <a:lumMod val="50000"/>
                  <a:lumOff val="50000"/>
                </a:schemeClr>
              </a:solidFill>
            </a:endParaRPr>
          </a:p>
        </c:rich>
      </c:tx>
      <c:layout>
        <c:manualLayout>
          <c:xMode val="edge"/>
          <c:yMode val="edge"/>
          <c:x val="0.10622285959211691"/>
          <c:y val="9.05169787251142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790215596913029E-2"/>
          <c:y val="0.22731779024623902"/>
          <c:w val="0.85725870641852187"/>
          <c:h val="0.55264935725964848"/>
        </c:manualLayout>
      </c:layout>
      <c:bar3DChart>
        <c:barDir val="col"/>
        <c:grouping val="clustered"/>
        <c:varyColors val="0"/>
        <c:ser>
          <c:idx val="0"/>
          <c:order val="0"/>
          <c:tx>
            <c:strRef>
              <c:f>'Impact on Academic Performance'!$B$1:$B$2</c:f>
              <c:strCache>
                <c:ptCount val="1"/>
                <c:pt idx="0">
                  <c:v>No</c:v>
                </c:pt>
              </c:strCache>
            </c:strRef>
          </c:tx>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Performance'!$A$3:$A$7</c:f>
              <c:strCache>
                <c:ptCount val="5"/>
                <c:pt idx="0">
                  <c:v>4.4</c:v>
                </c:pt>
                <c:pt idx="1">
                  <c:v>4.5</c:v>
                </c:pt>
                <c:pt idx="2">
                  <c:v>4.6</c:v>
                </c:pt>
                <c:pt idx="3">
                  <c:v>4.7</c:v>
                </c:pt>
                <c:pt idx="4">
                  <c:v>4.8</c:v>
                </c:pt>
              </c:strCache>
            </c:strRef>
          </c:cat>
          <c:val>
            <c:numRef>
              <c:f>'Impact on Academic Performance'!$B$3:$B$7</c:f>
              <c:numCache>
                <c:formatCode>General</c:formatCode>
                <c:ptCount val="5"/>
                <c:pt idx="0">
                  <c:v>15</c:v>
                </c:pt>
                <c:pt idx="1">
                  <c:v>15</c:v>
                </c:pt>
                <c:pt idx="2">
                  <c:v>11</c:v>
                </c:pt>
                <c:pt idx="3">
                  <c:v>12</c:v>
                </c:pt>
                <c:pt idx="4">
                  <c:v>12</c:v>
                </c:pt>
              </c:numCache>
            </c:numRef>
          </c:val>
          <c:extLst>
            <c:ext xmlns:c16="http://schemas.microsoft.com/office/drawing/2014/chart" uri="{C3380CC4-5D6E-409C-BE32-E72D297353CC}">
              <c16:uniqueId val="{00000000-BC48-4695-8322-968546D0B7D3}"/>
            </c:ext>
          </c:extLst>
        </c:ser>
        <c:ser>
          <c:idx val="1"/>
          <c:order val="1"/>
          <c:tx>
            <c:strRef>
              <c:f>'Impact on Academic Performance'!$C$1:$C$2</c:f>
              <c:strCache>
                <c:ptCount val="1"/>
                <c:pt idx="0">
                  <c:v>Yes</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Performance'!$A$3:$A$7</c:f>
              <c:strCache>
                <c:ptCount val="5"/>
                <c:pt idx="0">
                  <c:v>4.4</c:v>
                </c:pt>
                <c:pt idx="1">
                  <c:v>4.5</c:v>
                </c:pt>
                <c:pt idx="2">
                  <c:v>4.6</c:v>
                </c:pt>
                <c:pt idx="3">
                  <c:v>4.7</c:v>
                </c:pt>
                <c:pt idx="4">
                  <c:v>4.8</c:v>
                </c:pt>
              </c:strCache>
            </c:strRef>
          </c:cat>
          <c:val>
            <c:numRef>
              <c:f>'Impact on Academic Performance'!$C$3:$C$7</c:f>
              <c:numCache>
                <c:formatCode>General</c:formatCode>
                <c:ptCount val="5"/>
                <c:pt idx="0">
                  <c:v>12</c:v>
                </c:pt>
                <c:pt idx="1">
                  <c:v>15</c:v>
                </c:pt>
                <c:pt idx="2">
                  <c:v>17</c:v>
                </c:pt>
                <c:pt idx="3">
                  <c:v>19</c:v>
                </c:pt>
                <c:pt idx="4">
                  <c:v>17</c:v>
                </c:pt>
              </c:numCache>
            </c:numRef>
          </c:val>
          <c:extLst>
            <c:ext xmlns:c16="http://schemas.microsoft.com/office/drawing/2014/chart" uri="{C3380CC4-5D6E-409C-BE32-E72D297353CC}">
              <c16:uniqueId val="{00000001-BC48-4695-8322-968546D0B7D3}"/>
            </c:ext>
          </c:extLst>
        </c:ser>
        <c:dLbls>
          <c:showLegendKey val="0"/>
          <c:showVal val="1"/>
          <c:showCatName val="0"/>
          <c:showSerName val="0"/>
          <c:showPercent val="0"/>
          <c:showBubbleSize val="0"/>
        </c:dLbls>
        <c:gapWidth val="65"/>
        <c:shape val="box"/>
        <c:axId val="186832223"/>
        <c:axId val="109520127"/>
        <c:axId val="0"/>
      </c:bar3DChart>
      <c:catAx>
        <c:axId val="186832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520127"/>
        <c:crosses val="autoZero"/>
        <c:auto val="1"/>
        <c:lblAlgn val="ctr"/>
        <c:lblOffset val="100"/>
        <c:noMultiLvlLbl val="0"/>
      </c:catAx>
      <c:valAx>
        <c:axId val="109520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832223"/>
        <c:crosses val="autoZero"/>
        <c:crossBetween val="between"/>
      </c:valAx>
      <c:spPr>
        <a:noFill/>
        <a:ln>
          <a:noFill/>
        </a:ln>
        <a:effectLst/>
      </c:spPr>
    </c:plotArea>
    <c:legend>
      <c:legendPos val="r"/>
      <c:layout>
        <c:manualLayout>
          <c:xMode val="edge"/>
          <c:yMode val="edge"/>
          <c:x val="0.5969085551694634"/>
          <c:y val="0.85645814495281058"/>
          <c:w val="0.33333318270235146"/>
          <c:h val="0.1156747750234263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3b</c:name>
    <c:fmtId val="3"/>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IN">
                <a:solidFill>
                  <a:schemeClr val="tx1">
                    <a:lumMod val="50000"/>
                    <a:lumOff val="50000"/>
                  </a:schemeClr>
                </a:solidFill>
              </a:rPr>
              <a:t>Academic</a:t>
            </a:r>
            <a:r>
              <a:rPr lang="en-IN" baseline="0">
                <a:solidFill>
                  <a:schemeClr val="tx1">
                    <a:lumMod val="50000"/>
                    <a:lumOff val="50000"/>
                  </a:schemeClr>
                </a:solidFill>
              </a:rPr>
              <a:t> Impact</a:t>
            </a:r>
          </a:p>
        </c:rich>
      </c:tx>
      <c:layout>
        <c:manualLayout>
          <c:xMode val="edge"/>
          <c:yMode val="edge"/>
          <c:x val="0.32775434701182238"/>
          <c:y val="7.69874336517489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339006298135803E-2"/>
          <c:y val="0.15711960177124507"/>
          <c:w val="0.94886286038043033"/>
          <c:h val="0.56754121288398818"/>
        </c:manualLayout>
      </c:layout>
      <c:bar3DChart>
        <c:barDir val="col"/>
        <c:grouping val="clustered"/>
        <c:varyColors val="0"/>
        <c:ser>
          <c:idx val="0"/>
          <c:order val="0"/>
          <c:tx>
            <c:strRef>
              <c:f>'Impact on Academic Performance'!$H$1:$H$2</c:f>
              <c:strCache>
                <c:ptCount val="1"/>
                <c:pt idx="0">
                  <c:v>No</c:v>
                </c:pt>
              </c:strCache>
            </c:strRef>
          </c:tx>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Performance'!$G$3:$G$5</c:f>
              <c:strCache>
                <c:ptCount val="3"/>
                <c:pt idx="0">
                  <c:v>Graduate</c:v>
                </c:pt>
                <c:pt idx="1">
                  <c:v>High School</c:v>
                </c:pt>
                <c:pt idx="2">
                  <c:v>Undergraduate</c:v>
                </c:pt>
              </c:strCache>
            </c:strRef>
          </c:cat>
          <c:val>
            <c:numRef>
              <c:f>'Impact on Academic Performance'!$H$3:$H$5</c:f>
              <c:numCache>
                <c:formatCode>General</c:formatCode>
                <c:ptCount val="3"/>
                <c:pt idx="0">
                  <c:v>126</c:v>
                </c:pt>
                <c:pt idx="1">
                  <c:v>2</c:v>
                </c:pt>
                <c:pt idx="2">
                  <c:v>124</c:v>
                </c:pt>
              </c:numCache>
            </c:numRef>
          </c:val>
          <c:extLst>
            <c:ext xmlns:c16="http://schemas.microsoft.com/office/drawing/2014/chart" uri="{C3380CC4-5D6E-409C-BE32-E72D297353CC}">
              <c16:uniqueId val="{00000000-31F8-4D14-A6C5-51E33E277380}"/>
            </c:ext>
          </c:extLst>
        </c:ser>
        <c:ser>
          <c:idx val="1"/>
          <c:order val="1"/>
          <c:tx>
            <c:strRef>
              <c:f>'Impact on Academic Performance'!$I$1:$I$2</c:f>
              <c:strCache>
                <c:ptCount val="1"/>
                <c:pt idx="0">
                  <c:v>Yes</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Performance'!$G$3:$G$5</c:f>
              <c:strCache>
                <c:ptCount val="3"/>
                <c:pt idx="0">
                  <c:v>Graduate</c:v>
                </c:pt>
                <c:pt idx="1">
                  <c:v>High School</c:v>
                </c:pt>
                <c:pt idx="2">
                  <c:v>Undergraduate</c:v>
                </c:pt>
              </c:strCache>
            </c:strRef>
          </c:cat>
          <c:val>
            <c:numRef>
              <c:f>'Impact on Academic Performance'!$I$3:$I$5</c:f>
              <c:numCache>
                <c:formatCode>General</c:formatCode>
                <c:ptCount val="3"/>
                <c:pt idx="0">
                  <c:v>199</c:v>
                </c:pt>
                <c:pt idx="1">
                  <c:v>25</c:v>
                </c:pt>
                <c:pt idx="2">
                  <c:v>229</c:v>
                </c:pt>
              </c:numCache>
            </c:numRef>
          </c:val>
          <c:extLst>
            <c:ext xmlns:c16="http://schemas.microsoft.com/office/drawing/2014/chart" uri="{C3380CC4-5D6E-409C-BE32-E72D297353CC}">
              <c16:uniqueId val="{00000001-31F8-4D14-A6C5-51E33E277380}"/>
            </c:ext>
          </c:extLst>
        </c:ser>
        <c:dLbls>
          <c:showLegendKey val="0"/>
          <c:showVal val="1"/>
          <c:showCatName val="0"/>
          <c:showSerName val="0"/>
          <c:showPercent val="0"/>
          <c:showBubbleSize val="0"/>
        </c:dLbls>
        <c:gapWidth val="65"/>
        <c:shape val="box"/>
        <c:axId val="254003167"/>
        <c:axId val="254004607"/>
        <c:axId val="0"/>
      </c:bar3DChart>
      <c:catAx>
        <c:axId val="254003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004607"/>
        <c:crosses val="autoZero"/>
        <c:auto val="1"/>
        <c:lblAlgn val="ctr"/>
        <c:lblOffset val="100"/>
        <c:noMultiLvlLbl val="0"/>
      </c:catAx>
      <c:valAx>
        <c:axId val="254004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003167"/>
        <c:crosses val="autoZero"/>
        <c:crossBetween val="between"/>
      </c:valAx>
      <c:spPr>
        <a:noFill/>
        <a:ln>
          <a:noFill/>
        </a:ln>
        <a:effectLst/>
      </c:spPr>
    </c:plotArea>
    <c:legend>
      <c:legendPos val="r"/>
      <c:layout>
        <c:manualLayout>
          <c:xMode val="edge"/>
          <c:yMode val="edge"/>
          <c:x val="0.57680273037911867"/>
          <c:y val="0.85112183051548385"/>
          <c:w val="0.33905768205344561"/>
          <c:h val="0.112114953149446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Addiction.xlsx]Impact on Academic Performance!Question 3c</c:name>
    <c:fmtId val="5"/>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US">
                <a:solidFill>
                  <a:schemeClr val="tx1">
                    <a:lumMod val="50000"/>
                    <a:lumOff val="50000"/>
                  </a:schemeClr>
                </a:solidFill>
              </a:rPr>
              <a:t>Negative</a:t>
            </a:r>
            <a:r>
              <a:rPr lang="en-US" baseline="0">
                <a:solidFill>
                  <a:schemeClr val="tx1">
                    <a:lumMod val="50000"/>
                    <a:lumOff val="50000"/>
                  </a:schemeClr>
                </a:solidFill>
              </a:rPr>
              <a:t> Effect by Daily Usage Hrs </a:t>
            </a:r>
            <a:endParaRPr lang="en-US">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on Academic Performance'!$M$2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'Impact on Academic Performance'!$L$3:$L$7</c:f>
              <c:strCache>
                <c:ptCount val="5"/>
                <c:pt idx="0">
                  <c:v>4.4</c:v>
                </c:pt>
                <c:pt idx="1">
                  <c:v>4.5</c:v>
                </c:pt>
                <c:pt idx="2">
                  <c:v>4.6</c:v>
                </c:pt>
                <c:pt idx="3">
                  <c:v>4.7</c:v>
                </c:pt>
                <c:pt idx="4">
                  <c:v>4.8</c:v>
                </c:pt>
              </c:strCache>
            </c:strRef>
          </c:cat>
          <c:val>
            <c:numRef>
              <c:f>'Impact on Academic Performance'!$M$3:$M$7</c:f>
              <c:numCache>
                <c:formatCode>General</c:formatCode>
                <c:ptCount val="5"/>
                <c:pt idx="0">
                  <c:v>27</c:v>
                </c:pt>
                <c:pt idx="1">
                  <c:v>30</c:v>
                </c:pt>
                <c:pt idx="2">
                  <c:v>28</c:v>
                </c:pt>
                <c:pt idx="3">
                  <c:v>31</c:v>
                </c:pt>
                <c:pt idx="4">
                  <c:v>29</c:v>
                </c:pt>
              </c:numCache>
            </c:numRef>
          </c:val>
          <c:extLst>
            <c:ext xmlns:c16="http://schemas.microsoft.com/office/drawing/2014/chart" uri="{C3380CC4-5D6E-409C-BE32-E72D297353CC}">
              <c16:uniqueId val="{00000000-47E6-419A-8B84-577C550C539D}"/>
            </c:ext>
          </c:extLst>
        </c:ser>
        <c:dLbls>
          <c:dLblPos val="outEnd"/>
          <c:showLegendKey val="0"/>
          <c:showVal val="1"/>
          <c:showCatName val="0"/>
          <c:showSerName val="0"/>
          <c:showPercent val="0"/>
          <c:showBubbleSize val="0"/>
        </c:dLbls>
        <c:gapWidth val="65"/>
        <c:axId val="259416959"/>
        <c:axId val="252362735"/>
      </c:barChart>
      <c:catAx>
        <c:axId val="259416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252362735"/>
        <c:crosses val="autoZero"/>
        <c:auto val="1"/>
        <c:lblAlgn val="ctr"/>
        <c:lblOffset val="100"/>
        <c:noMultiLvlLbl val="0"/>
      </c:catAx>
      <c:valAx>
        <c:axId val="252362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94169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&amp; Well-being'!$B$1</c:f>
              <c:strCache>
                <c:ptCount val="1"/>
                <c:pt idx="0">
                  <c:v>Total</c:v>
                </c:pt>
              </c:strCache>
            </c:strRef>
          </c:tx>
          <c:spPr>
            <a:solidFill>
              <a:schemeClr val="accent1"/>
            </a:solidFill>
            <a:ln>
              <a:noFill/>
            </a:ln>
            <a:effectLst/>
          </c:spPr>
          <c:invertIfNegative val="0"/>
          <c:cat>
            <c:strRef>
              <c:f>'Sleep &amp; Well-being'!$A$2:$A$6</c:f>
              <c:strCache>
                <c:ptCount val="5"/>
                <c:pt idx="0">
                  <c:v>4.4</c:v>
                </c:pt>
                <c:pt idx="1">
                  <c:v>4.5</c:v>
                </c:pt>
                <c:pt idx="2">
                  <c:v>4.6</c:v>
                </c:pt>
                <c:pt idx="3">
                  <c:v>4.7</c:v>
                </c:pt>
                <c:pt idx="4">
                  <c:v>4.8</c:v>
                </c:pt>
              </c:strCache>
            </c:strRef>
          </c:cat>
          <c:val>
            <c:numRef>
              <c:f>'Sleep &amp; Well-being'!$B$2:$B$6</c:f>
              <c:numCache>
                <c:formatCode>General</c:formatCode>
                <c:ptCount val="5"/>
                <c:pt idx="0">
                  <c:v>27</c:v>
                </c:pt>
                <c:pt idx="1">
                  <c:v>30</c:v>
                </c:pt>
                <c:pt idx="2">
                  <c:v>28</c:v>
                </c:pt>
                <c:pt idx="3">
                  <c:v>31</c:v>
                </c:pt>
                <c:pt idx="4">
                  <c:v>29</c:v>
                </c:pt>
              </c:numCache>
            </c:numRef>
          </c:val>
          <c:extLst>
            <c:ext xmlns:c16="http://schemas.microsoft.com/office/drawing/2014/chart" uri="{C3380CC4-5D6E-409C-BE32-E72D297353CC}">
              <c16:uniqueId val="{00000000-2DB3-4D9A-AF95-7EB66FEF7CEE}"/>
            </c:ext>
          </c:extLst>
        </c:ser>
        <c:dLbls>
          <c:showLegendKey val="0"/>
          <c:showVal val="0"/>
          <c:showCatName val="0"/>
          <c:showSerName val="0"/>
          <c:showPercent val="0"/>
          <c:showBubbleSize val="0"/>
        </c:dLbls>
        <c:gapWidth val="219"/>
        <c:overlap val="-27"/>
        <c:axId val="988119887"/>
        <c:axId val="988124207"/>
      </c:barChart>
      <c:catAx>
        <c:axId val="98811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24207"/>
        <c:crosses val="autoZero"/>
        <c:auto val="1"/>
        <c:lblAlgn val="ctr"/>
        <c:lblOffset val="100"/>
        <c:noMultiLvlLbl val="0"/>
      </c:catAx>
      <c:valAx>
        <c:axId val="98812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1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4b</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'Sleep &amp; Well-being'!$E$2:$E$3</c:f>
              <c:strCache>
                <c:ptCount val="1"/>
                <c:pt idx="0">
                  <c:v>4</c:v>
                </c:pt>
              </c:strCache>
            </c:strRef>
          </c:tx>
          <c:spPr>
            <a:solidFill>
              <a:schemeClr val="accent1"/>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Well-being'!$E$4:$E$8</c:f>
              <c:numCache>
                <c:formatCode>General</c:formatCode>
                <c:ptCount val="5"/>
              </c:numCache>
            </c:numRef>
          </c:val>
          <c:extLst>
            <c:ext xmlns:c16="http://schemas.microsoft.com/office/drawing/2014/chart" uri="{C3380CC4-5D6E-409C-BE32-E72D297353CC}">
              <c16:uniqueId val="{00000000-6D9E-4DF9-9871-C0E539A2BDA4}"/>
            </c:ext>
          </c:extLst>
        </c:ser>
        <c:ser>
          <c:idx val="1"/>
          <c:order val="1"/>
          <c:tx>
            <c:strRef>
              <c:f>'Sleep &amp; Well-being'!$F$2:$F$3</c:f>
              <c:strCache>
                <c:ptCount val="1"/>
                <c:pt idx="0">
                  <c:v>5</c:v>
                </c:pt>
              </c:strCache>
            </c:strRef>
          </c:tx>
          <c:spPr>
            <a:solidFill>
              <a:schemeClr val="accent2"/>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Well-being'!$F$4:$F$8</c:f>
              <c:numCache>
                <c:formatCode>General</c:formatCode>
                <c:ptCount val="5"/>
                <c:pt idx="0">
                  <c:v>4</c:v>
                </c:pt>
                <c:pt idx="1">
                  <c:v>4</c:v>
                </c:pt>
                <c:pt idx="2">
                  <c:v>2</c:v>
                </c:pt>
                <c:pt idx="3">
                  <c:v>2</c:v>
                </c:pt>
                <c:pt idx="4">
                  <c:v>2</c:v>
                </c:pt>
              </c:numCache>
            </c:numRef>
          </c:val>
          <c:extLst>
            <c:ext xmlns:c16="http://schemas.microsoft.com/office/drawing/2014/chart" uri="{C3380CC4-5D6E-409C-BE32-E72D297353CC}">
              <c16:uniqueId val="{00000001-6D9E-4DF9-9871-C0E539A2BDA4}"/>
            </c:ext>
          </c:extLst>
        </c:ser>
        <c:ser>
          <c:idx val="2"/>
          <c:order val="2"/>
          <c:tx>
            <c:strRef>
              <c:f>'Sleep &amp; Well-being'!$G$2:$G$3</c:f>
              <c:strCache>
                <c:ptCount val="1"/>
                <c:pt idx="0">
                  <c:v>6</c:v>
                </c:pt>
              </c:strCache>
            </c:strRef>
          </c:tx>
          <c:spPr>
            <a:solidFill>
              <a:schemeClr val="accent3"/>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Well-being'!$G$4:$G$8</c:f>
              <c:numCache>
                <c:formatCode>General</c:formatCode>
                <c:ptCount val="5"/>
                <c:pt idx="0">
                  <c:v>18</c:v>
                </c:pt>
                <c:pt idx="1">
                  <c:v>4</c:v>
                </c:pt>
                <c:pt idx="2">
                  <c:v>4</c:v>
                </c:pt>
                <c:pt idx="3">
                  <c:v>4</c:v>
                </c:pt>
                <c:pt idx="4">
                  <c:v>4</c:v>
                </c:pt>
              </c:numCache>
            </c:numRef>
          </c:val>
          <c:extLst>
            <c:ext xmlns:c16="http://schemas.microsoft.com/office/drawing/2014/chart" uri="{C3380CC4-5D6E-409C-BE32-E72D297353CC}">
              <c16:uniqueId val="{00000002-6D9E-4DF9-9871-C0E539A2BDA4}"/>
            </c:ext>
          </c:extLst>
        </c:ser>
        <c:ser>
          <c:idx val="3"/>
          <c:order val="3"/>
          <c:tx>
            <c:strRef>
              <c:f>'Sleep &amp; Well-being'!$H$2:$H$3</c:f>
              <c:strCache>
                <c:ptCount val="1"/>
                <c:pt idx="0">
                  <c:v>7</c:v>
                </c:pt>
              </c:strCache>
            </c:strRef>
          </c:tx>
          <c:spPr>
            <a:solidFill>
              <a:schemeClr val="accent4"/>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Well-being'!$H$4:$H$8</c:f>
              <c:numCache>
                <c:formatCode>General</c:formatCode>
                <c:ptCount val="5"/>
                <c:pt idx="0">
                  <c:v>3</c:v>
                </c:pt>
                <c:pt idx="1">
                  <c:v>13</c:v>
                </c:pt>
                <c:pt idx="2">
                  <c:v>17</c:v>
                </c:pt>
                <c:pt idx="3">
                  <c:v>14</c:v>
                </c:pt>
                <c:pt idx="4">
                  <c:v>13</c:v>
                </c:pt>
              </c:numCache>
            </c:numRef>
          </c:val>
          <c:extLst>
            <c:ext xmlns:c16="http://schemas.microsoft.com/office/drawing/2014/chart" uri="{C3380CC4-5D6E-409C-BE32-E72D297353CC}">
              <c16:uniqueId val="{00000003-6D9E-4DF9-9871-C0E539A2BDA4}"/>
            </c:ext>
          </c:extLst>
        </c:ser>
        <c:ser>
          <c:idx val="4"/>
          <c:order val="4"/>
          <c:tx>
            <c:strRef>
              <c:f>'Sleep &amp; Well-being'!$I$2:$I$3</c:f>
              <c:strCache>
                <c:ptCount val="1"/>
                <c:pt idx="0">
                  <c:v>8</c:v>
                </c:pt>
              </c:strCache>
            </c:strRef>
          </c:tx>
          <c:spPr>
            <a:solidFill>
              <a:schemeClr val="accent5"/>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Well-being'!$I$4:$I$8</c:f>
              <c:numCache>
                <c:formatCode>General</c:formatCode>
                <c:ptCount val="5"/>
                <c:pt idx="1">
                  <c:v>7</c:v>
                </c:pt>
                <c:pt idx="2">
                  <c:v>5</c:v>
                </c:pt>
                <c:pt idx="3">
                  <c:v>6</c:v>
                </c:pt>
                <c:pt idx="4">
                  <c:v>6</c:v>
                </c:pt>
              </c:numCache>
            </c:numRef>
          </c:val>
          <c:extLst>
            <c:ext xmlns:c16="http://schemas.microsoft.com/office/drawing/2014/chart" uri="{C3380CC4-5D6E-409C-BE32-E72D297353CC}">
              <c16:uniqueId val="{00000004-6D9E-4DF9-9871-C0E539A2BDA4}"/>
            </c:ext>
          </c:extLst>
        </c:ser>
        <c:ser>
          <c:idx val="5"/>
          <c:order val="5"/>
          <c:tx>
            <c:strRef>
              <c:f>'Sleep &amp; Well-being'!$J$2:$J$3</c:f>
              <c:strCache>
                <c:ptCount val="1"/>
                <c:pt idx="0">
                  <c:v>9</c:v>
                </c:pt>
              </c:strCache>
            </c:strRef>
          </c:tx>
          <c:spPr>
            <a:solidFill>
              <a:schemeClr val="accent6"/>
            </a:solidFill>
            <a:ln>
              <a:noFill/>
            </a:ln>
            <a:effectLst/>
            <a:sp3d/>
          </c:spPr>
          <c:invertIfNegative val="0"/>
          <c:cat>
            <c:strRef>
              <c:f>'Sleep &amp; Well-being'!$D$4:$D$8</c:f>
              <c:strCache>
                <c:ptCount val="5"/>
                <c:pt idx="0">
                  <c:v>6.7</c:v>
                </c:pt>
                <c:pt idx="1">
                  <c:v>7.2</c:v>
                </c:pt>
                <c:pt idx="2">
                  <c:v>7.3</c:v>
                </c:pt>
                <c:pt idx="3">
                  <c:v>7.4</c:v>
                </c:pt>
                <c:pt idx="4">
                  <c:v>7.5</c:v>
                </c:pt>
              </c:strCache>
            </c:strRef>
          </c:cat>
          <c:val>
            <c:numRef>
              <c:f>'Sleep &amp; Well-being'!$J$4:$J$8</c:f>
              <c:numCache>
                <c:formatCode>General</c:formatCode>
                <c:ptCount val="5"/>
              </c:numCache>
            </c:numRef>
          </c:val>
          <c:extLst>
            <c:ext xmlns:c16="http://schemas.microsoft.com/office/drawing/2014/chart" uri="{C3380CC4-5D6E-409C-BE32-E72D297353CC}">
              <c16:uniqueId val="{00000005-6D9E-4DF9-9871-C0E539A2BDA4}"/>
            </c:ext>
          </c:extLst>
        </c:ser>
        <c:dLbls>
          <c:showLegendKey val="0"/>
          <c:showVal val="0"/>
          <c:showCatName val="0"/>
          <c:showSerName val="0"/>
          <c:showPercent val="0"/>
          <c:showBubbleSize val="0"/>
        </c:dLbls>
        <c:gapWidth val="219"/>
        <c:shape val="box"/>
        <c:axId val="988109807"/>
        <c:axId val="988114607"/>
        <c:axId val="0"/>
      </c:bar3DChart>
      <c:catAx>
        <c:axId val="9881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14607"/>
        <c:crosses val="autoZero"/>
        <c:auto val="1"/>
        <c:lblAlgn val="ctr"/>
        <c:lblOffset val="100"/>
        <c:noMultiLvlLbl val="0"/>
      </c:catAx>
      <c:valAx>
        <c:axId val="98811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4c</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&amp; Well-being'!$M$2:$M$3</c:f>
              <c:strCache>
                <c:ptCount val="1"/>
                <c:pt idx="0">
                  <c:v>Bad</c:v>
                </c:pt>
              </c:strCache>
            </c:strRef>
          </c:tx>
          <c:spPr>
            <a:solidFill>
              <a:schemeClr val="accent1"/>
            </a:solidFill>
            <a:ln>
              <a:noFill/>
            </a:ln>
            <a:effectLst/>
          </c:spPr>
          <c:invertIfNegative val="0"/>
          <c:cat>
            <c:strRef>
              <c:f>'Sleep &amp; Well-being'!$L$4:$L$6</c:f>
              <c:strCache>
                <c:ptCount val="3"/>
                <c:pt idx="0">
                  <c:v>Average</c:v>
                </c:pt>
                <c:pt idx="1">
                  <c:v>High</c:v>
                </c:pt>
                <c:pt idx="2">
                  <c:v>Less</c:v>
                </c:pt>
              </c:strCache>
            </c:strRef>
          </c:cat>
          <c:val>
            <c:numRef>
              <c:f>'Sleep &amp; Well-being'!$M$4:$M$6</c:f>
              <c:numCache>
                <c:formatCode>General</c:formatCode>
                <c:ptCount val="3"/>
                <c:pt idx="0">
                  <c:v>263</c:v>
                </c:pt>
                <c:pt idx="1">
                  <c:v>276</c:v>
                </c:pt>
                <c:pt idx="2">
                  <c:v>31</c:v>
                </c:pt>
              </c:numCache>
            </c:numRef>
          </c:val>
          <c:extLst>
            <c:ext xmlns:c16="http://schemas.microsoft.com/office/drawing/2014/chart" uri="{C3380CC4-5D6E-409C-BE32-E72D297353CC}">
              <c16:uniqueId val="{00000000-C00E-495F-A6FC-809DD5FC7208}"/>
            </c:ext>
          </c:extLst>
        </c:ser>
        <c:ser>
          <c:idx val="1"/>
          <c:order val="1"/>
          <c:tx>
            <c:strRef>
              <c:f>'Sleep &amp; Well-being'!$N$2:$N$3</c:f>
              <c:strCache>
                <c:ptCount val="1"/>
                <c:pt idx="0">
                  <c:v>Good</c:v>
                </c:pt>
              </c:strCache>
            </c:strRef>
          </c:tx>
          <c:spPr>
            <a:solidFill>
              <a:schemeClr val="accent2"/>
            </a:solidFill>
            <a:ln>
              <a:noFill/>
            </a:ln>
            <a:effectLst/>
          </c:spPr>
          <c:invertIfNegative val="0"/>
          <c:cat>
            <c:strRef>
              <c:f>'Sleep &amp; Well-being'!$L$4:$L$6</c:f>
              <c:strCache>
                <c:ptCount val="3"/>
                <c:pt idx="0">
                  <c:v>Average</c:v>
                </c:pt>
                <c:pt idx="1">
                  <c:v>High</c:v>
                </c:pt>
                <c:pt idx="2">
                  <c:v>Less</c:v>
                </c:pt>
              </c:strCache>
            </c:strRef>
          </c:cat>
          <c:val>
            <c:numRef>
              <c:f>'Sleep &amp; Well-being'!$N$4:$N$6</c:f>
              <c:numCache>
                <c:formatCode>General</c:formatCode>
                <c:ptCount val="3"/>
                <c:pt idx="0">
                  <c:v>48</c:v>
                </c:pt>
                <c:pt idx="1">
                  <c:v>55</c:v>
                </c:pt>
                <c:pt idx="2">
                  <c:v>3</c:v>
                </c:pt>
              </c:numCache>
            </c:numRef>
          </c:val>
          <c:extLst>
            <c:ext xmlns:c16="http://schemas.microsoft.com/office/drawing/2014/chart" uri="{C3380CC4-5D6E-409C-BE32-E72D297353CC}">
              <c16:uniqueId val="{00000007-C00E-495F-A6FC-809DD5FC7208}"/>
            </c:ext>
          </c:extLst>
        </c:ser>
        <c:ser>
          <c:idx val="2"/>
          <c:order val="2"/>
          <c:tx>
            <c:strRef>
              <c:f>'Sleep &amp; Well-being'!$O$2:$O$3</c:f>
              <c:strCache>
                <c:ptCount val="1"/>
                <c:pt idx="0">
                  <c:v>Worst</c:v>
                </c:pt>
              </c:strCache>
            </c:strRef>
          </c:tx>
          <c:spPr>
            <a:solidFill>
              <a:schemeClr val="accent3"/>
            </a:solidFill>
            <a:ln>
              <a:noFill/>
            </a:ln>
            <a:effectLst/>
          </c:spPr>
          <c:invertIfNegative val="0"/>
          <c:cat>
            <c:strRef>
              <c:f>'Sleep &amp; Well-being'!$L$4:$L$6</c:f>
              <c:strCache>
                <c:ptCount val="3"/>
                <c:pt idx="0">
                  <c:v>Average</c:v>
                </c:pt>
                <c:pt idx="1">
                  <c:v>High</c:v>
                </c:pt>
                <c:pt idx="2">
                  <c:v>Less</c:v>
                </c:pt>
              </c:strCache>
            </c:strRef>
          </c:cat>
          <c:val>
            <c:numRef>
              <c:f>'Sleep &amp; Well-being'!$O$4:$O$6</c:f>
              <c:numCache>
                <c:formatCode>General</c:formatCode>
                <c:ptCount val="3"/>
                <c:pt idx="0">
                  <c:v>21</c:v>
                </c:pt>
                <c:pt idx="1">
                  <c:v>8</c:v>
                </c:pt>
              </c:numCache>
            </c:numRef>
          </c:val>
          <c:extLst>
            <c:ext xmlns:c16="http://schemas.microsoft.com/office/drawing/2014/chart" uri="{C3380CC4-5D6E-409C-BE32-E72D297353CC}">
              <c16:uniqueId val="{00000008-C00E-495F-A6FC-809DD5FC7208}"/>
            </c:ext>
          </c:extLst>
        </c:ser>
        <c:dLbls>
          <c:showLegendKey val="0"/>
          <c:showVal val="0"/>
          <c:showCatName val="0"/>
          <c:showSerName val="0"/>
          <c:showPercent val="0"/>
          <c:showBubbleSize val="0"/>
        </c:dLbls>
        <c:gapWidth val="219"/>
        <c:overlap val="-27"/>
        <c:axId val="988173647"/>
        <c:axId val="988171247"/>
      </c:barChart>
      <c:catAx>
        <c:axId val="98817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71247"/>
        <c:crosses val="autoZero"/>
        <c:auto val="1"/>
        <c:lblAlgn val="ctr"/>
        <c:lblOffset val="100"/>
        <c:noMultiLvlLbl val="0"/>
      </c:catAx>
      <c:valAx>
        <c:axId val="98817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7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4d</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&amp; Well-being'!$R$3:$R$4</c:f>
              <c:strCache>
                <c:ptCount val="1"/>
                <c:pt idx="0">
                  <c:v>Average</c:v>
                </c:pt>
              </c:strCache>
            </c:strRef>
          </c:tx>
          <c:spPr>
            <a:solidFill>
              <a:schemeClr val="accent1"/>
            </a:solidFill>
            <a:ln>
              <a:noFill/>
            </a:ln>
            <a:effectLst/>
          </c:spPr>
          <c:invertIfNegative val="0"/>
          <c:cat>
            <c:strRef>
              <c:f>'Sleep &amp; Well-being'!$Q$5:$Q$7</c:f>
              <c:strCache>
                <c:ptCount val="3"/>
                <c:pt idx="0">
                  <c:v>Average</c:v>
                </c:pt>
                <c:pt idx="1">
                  <c:v>High</c:v>
                </c:pt>
                <c:pt idx="2">
                  <c:v>Less</c:v>
                </c:pt>
              </c:strCache>
            </c:strRef>
          </c:cat>
          <c:val>
            <c:numRef>
              <c:f>'Sleep &amp; Well-being'!$R$5:$R$7</c:f>
              <c:numCache>
                <c:formatCode>General</c:formatCode>
                <c:ptCount val="3"/>
                <c:pt idx="0">
                  <c:v>190</c:v>
                </c:pt>
                <c:pt idx="1">
                  <c:v>148</c:v>
                </c:pt>
                <c:pt idx="2">
                  <c:v>3</c:v>
                </c:pt>
              </c:numCache>
            </c:numRef>
          </c:val>
          <c:extLst>
            <c:ext xmlns:c16="http://schemas.microsoft.com/office/drawing/2014/chart" uri="{C3380CC4-5D6E-409C-BE32-E72D297353CC}">
              <c16:uniqueId val="{00000000-8EC0-4E4B-AC16-458015C7A35D}"/>
            </c:ext>
          </c:extLst>
        </c:ser>
        <c:ser>
          <c:idx val="1"/>
          <c:order val="1"/>
          <c:tx>
            <c:strRef>
              <c:f>'Sleep &amp; Well-being'!$S$3:$S$4</c:f>
              <c:strCache>
                <c:ptCount val="1"/>
                <c:pt idx="0">
                  <c:v>High</c:v>
                </c:pt>
              </c:strCache>
            </c:strRef>
          </c:tx>
          <c:spPr>
            <a:solidFill>
              <a:schemeClr val="accent2"/>
            </a:solidFill>
            <a:ln>
              <a:noFill/>
            </a:ln>
            <a:effectLst/>
          </c:spPr>
          <c:invertIfNegative val="0"/>
          <c:cat>
            <c:strRef>
              <c:f>'Sleep &amp; Well-being'!$Q$5:$Q$7</c:f>
              <c:strCache>
                <c:ptCount val="3"/>
                <c:pt idx="0">
                  <c:v>Average</c:v>
                </c:pt>
                <c:pt idx="1">
                  <c:v>High</c:v>
                </c:pt>
                <c:pt idx="2">
                  <c:v>Less</c:v>
                </c:pt>
              </c:strCache>
            </c:strRef>
          </c:cat>
          <c:val>
            <c:numRef>
              <c:f>'Sleep &amp; Well-being'!$S$5:$S$7</c:f>
              <c:numCache>
                <c:formatCode>General</c:formatCode>
                <c:ptCount val="3"/>
                <c:pt idx="0">
                  <c:v>135</c:v>
                </c:pt>
                <c:pt idx="1">
                  <c:v>164</c:v>
                </c:pt>
                <c:pt idx="2">
                  <c:v>29</c:v>
                </c:pt>
              </c:numCache>
            </c:numRef>
          </c:val>
          <c:extLst>
            <c:ext xmlns:c16="http://schemas.microsoft.com/office/drawing/2014/chart" uri="{C3380CC4-5D6E-409C-BE32-E72D297353CC}">
              <c16:uniqueId val="{00000001-8EC0-4E4B-AC16-458015C7A35D}"/>
            </c:ext>
          </c:extLst>
        </c:ser>
        <c:ser>
          <c:idx val="2"/>
          <c:order val="2"/>
          <c:tx>
            <c:strRef>
              <c:f>'Sleep &amp; Well-being'!$T$3:$T$4</c:f>
              <c:strCache>
                <c:ptCount val="1"/>
                <c:pt idx="0">
                  <c:v>Less</c:v>
                </c:pt>
              </c:strCache>
            </c:strRef>
          </c:tx>
          <c:spPr>
            <a:solidFill>
              <a:schemeClr val="accent3"/>
            </a:solidFill>
            <a:ln>
              <a:noFill/>
            </a:ln>
            <a:effectLst/>
          </c:spPr>
          <c:invertIfNegative val="0"/>
          <c:cat>
            <c:strRef>
              <c:f>'Sleep &amp; Well-being'!$Q$5:$Q$7</c:f>
              <c:strCache>
                <c:ptCount val="3"/>
                <c:pt idx="0">
                  <c:v>Average</c:v>
                </c:pt>
                <c:pt idx="1">
                  <c:v>High</c:v>
                </c:pt>
                <c:pt idx="2">
                  <c:v>Less</c:v>
                </c:pt>
              </c:strCache>
            </c:strRef>
          </c:cat>
          <c:val>
            <c:numRef>
              <c:f>'Sleep &amp; Well-being'!$T$5:$T$7</c:f>
              <c:numCache>
                <c:formatCode>General</c:formatCode>
                <c:ptCount val="3"/>
                <c:pt idx="0">
                  <c:v>7</c:v>
                </c:pt>
                <c:pt idx="1">
                  <c:v>27</c:v>
                </c:pt>
                <c:pt idx="2">
                  <c:v>2</c:v>
                </c:pt>
              </c:numCache>
            </c:numRef>
          </c:val>
          <c:extLst>
            <c:ext xmlns:c16="http://schemas.microsoft.com/office/drawing/2014/chart" uri="{C3380CC4-5D6E-409C-BE32-E72D297353CC}">
              <c16:uniqueId val="{00000002-8EC0-4E4B-AC16-458015C7A35D}"/>
            </c:ext>
          </c:extLst>
        </c:ser>
        <c:dLbls>
          <c:showLegendKey val="0"/>
          <c:showVal val="0"/>
          <c:showCatName val="0"/>
          <c:showSerName val="0"/>
          <c:showPercent val="0"/>
          <c:showBubbleSize val="0"/>
        </c:dLbls>
        <c:gapWidth val="219"/>
        <c:overlap val="-27"/>
        <c:axId val="1124868511"/>
        <c:axId val="1124881951"/>
      </c:barChart>
      <c:catAx>
        <c:axId val="112486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81951"/>
        <c:crosses val="autoZero"/>
        <c:auto val="1"/>
        <c:lblAlgn val="ctr"/>
        <c:lblOffset val="100"/>
        <c:noMultiLvlLbl val="0"/>
      </c:catAx>
      <c:valAx>
        <c:axId val="112488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6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4a</c:name>
    <c:fmtId val="2"/>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US" sz="1600">
                <a:solidFill>
                  <a:schemeClr val="tx1">
                    <a:lumMod val="50000"/>
                    <a:lumOff val="50000"/>
                  </a:schemeClr>
                </a:solidFill>
              </a:rPr>
              <a:t>Impact</a:t>
            </a:r>
            <a:r>
              <a:rPr lang="en-US" sz="1600" baseline="0">
                <a:solidFill>
                  <a:schemeClr val="tx1">
                    <a:lumMod val="50000"/>
                    <a:lumOff val="50000"/>
                  </a:schemeClr>
                </a:solidFill>
              </a:rPr>
              <a:t> of Daily Social Media Usage on Sleep</a:t>
            </a:r>
          </a:p>
        </c:rich>
      </c:tx>
      <c:layout>
        <c:manualLayout>
          <c:xMode val="edge"/>
          <c:yMode val="edge"/>
          <c:x val="9.5123580494321971E-2"/>
          <c:y val="0.153993853640049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92117568470273E-2"/>
          <c:y val="0.34886561012727241"/>
          <c:w val="0.91207296482729239"/>
          <c:h val="0.36606730268084825"/>
        </c:manualLayout>
      </c:layout>
      <c:barChart>
        <c:barDir val="col"/>
        <c:grouping val="clustered"/>
        <c:varyColors val="0"/>
        <c:ser>
          <c:idx val="0"/>
          <c:order val="0"/>
          <c:tx>
            <c:strRef>
              <c:f>'Sleep &amp; Well-being'!$B$1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Well-being'!$A$2:$A$6</c:f>
              <c:strCache>
                <c:ptCount val="5"/>
                <c:pt idx="0">
                  <c:v>4.4</c:v>
                </c:pt>
                <c:pt idx="1">
                  <c:v>4.5</c:v>
                </c:pt>
                <c:pt idx="2">
                  <c:v>4.6</c:v>
                </c:pt>
                <c:pt idx="3">
                  <c:v>4.7</c:v>
                </c:pt>
                <c:pt idx="4">
                  <c:v>4.8</c:v>
                </c:pt>
              </c:strCache>
            </c:strRef>
          </c:cat>
          <c:val>
            <c:numRef>
              <c:f>'Sleep &amp; Well-being'!$B$2:$B$6</c:f>
              <c:numCache>
                <c:formatCode>General</c:formatCode>
                <c:ptCount val="5"/>
                <c:pt idx="0">
                  <c:v>27</c:v>
                </c:pt>
                <c:pt idx="1">
                  <c:v>30</c:v>
                </c:pt>
                <c:pt idx="2">
                  <c:v>28</c:v>
                </c:pt>
                <c:pt idx="3">
                  <c:v>31</c:v>
                </c:pt>
                <c:pt idx="4">
                  <c:v>29</c:v>
                </c:pt>
              </c:numCache>
            </c:numRef>
          </c:val>
          <c:extLst>
            <c:ext xmlns:c16="http://schemas.microsoft.com/office/drawing/2014/chart" uri="{C3380CC4-5D6E-409C-BE32-E72D297353CC}">
              <c16:uniqueId val="{00000000-9181-4D63-815B-2AF8FF391203}"/>
            </c:ext>
          </c:extLst>
        </c:ser>
        <c:dLbls>
          <c:dLblPos val="outEnd"/>
          <c:showLegendKey val="0"/>
          <c:showVal val="1"/>
          <c:showCatName val="0"/>
          <c:showSerName val="0"/>
          <c:showPercent val="0"/>
          <c:showBubbleSize val="0"/>
        </c:dLbls>
        <c:gapWidth val="65"/>
        <c:axId val="988119887"/>
        <c:axId val="988124207"/>
      </c:barChart>
      <c:catAx>
        <c:axId val="988119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8124207"/>
        <c:crosses val="autoZero"/>
        <c:auto val="1"/>
        <c:lblAlgn val="ctr"/>
        <c:lblOffset val="100"/>
        <c:noMultiLvlLbl val="0"/>
      </c:catAx>
      <c:valAx>
        <c:axId val="9881242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8119887"/>
        <c:crosses val="autoZero"/>
        <c:crossBetween val="between"/>
      </c:valAx>
      <c:spPr>
        <a:noFill/>
        <a:ln>
          <a:noFill/>
        </a:ln>
        <a:effectLst/>
      </c:spPr>
    </c:plotArea>
    <c:legend>
      <c:legendPos val="r"/>
      <c:layout>
        <c:manualLayout>
          <c:xMode val="edge"/>
          <c:yMode val="edge"/>
          <c:x val="0.86932079381860838"/>
          <c:y val="0.8785485261854552"/>
          <c:w val="9.5943067236835877E-2"/>
          <c:h val="8.818068612160433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4b</c:name>
    <c:fmtId val="11"/>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IN" sz="1600">
                <a:solidFill>
                  <a:schemeClr val="tx1">
                    <a:lumMod val="50000"/>
                    <a:lumOff val="50000"/>
                  </a:schemeClr>
                </a:solidFill>
              </a:rPr>
              <a:t>Mental</a:t>
            </a:r>
            <a:r>
              <a:rPr lang="en-IN" sz="1600" baseline="0">
                <a:solidFill>
                  <a:schemeClr val="tx1">
                    <a:lumMod val="50000"/>
                    <a:lumOff val="50000"/>
                  </a:schemeClr>
                </a:solidFill>
              </a:rPr>
              <a:t> Health Score Caused By Sleep Duration </a:t>
            </a:r>
            <a:endParaRPr lang="en-IN" sz="1600">
              <a:solidFill>
                <a:schemeClr val="tx1">
                  <a:lumMod val="50000"/>
                  <a:lumOff val="50000"/>
                </a:schemeClr>
              </a:solidFill>
            </a:endParaRPr>
          </a:p>
        </c:rich>
      </c:tx>
      <c:layout>
        <c:manualLayout>
          <c:xMode val="edge"/>
          <c:yMode val="edge"/>
          <c:x val="0.15589272811377328"/>
          <c:y val="0.1173129809285784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'Sleep &amp; Well-being'!$E$2:$E$3</c:f>
              <c:strCache>
                <c:ptCount val="1"/>
                <c:pt idx="0">
                  <c:v>4</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Well-being'!$E$4:$E$8</c:f>
              <c:numCache>
                <c:formatCode>General</c:formatCode>
                <c:ptCount val="5"/>
              </c:numCache>
            </c:numRef>
          </c:val>
          <c:extLst>
            <c:ext xmlns:c16="http://schemas.microsoft.com/office/drawing/2014/chart" uri="{C3380CC4-5D6E-409C-BE32-E72D297353CC}">
              <c16:uniqueId val="{00000000-993E-43EF-84E5-45BC5FBF4431}"/>
            </c:ext>
          </c:extLst>
        </c:ser>
        <c:ser>
          <c:idx val="1"/>
          <c:order val="1"/>
          <c:tx>
            <c:strRef>
              <c:f>'Sleep &amp; Well-being'!$F$2:$F$3</c:f>
              <c:strCache>
                <c:ptCount val="1"/>
                <c:pt idx="0">
                  <c:v>5</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Well-being'!$F$4:$F$8</c:f>
              <c:numCache>
                <c:formatCode>General</c:formatCode>
                <c:ptCount val="5"/>
                <c:pt idx="0">
                  <c:v>4</c:v>
                </c:pt>
                <c:pt idx="1">
                  <c:v>4</c:v>
                </c:pt>
                <c:pt idx="2">
                  <c:v>2</c:v>
                </c:pt>
                <c:pt idx="3">
                  <c:v>2</c:v>
                </c:pt>
                <c:pt idx="4">
                  <c:v>2</c:v>
                </c:pt>
              </c:numCache>
            </c:numRef>
          </c:val>
          <c:extLst>
            <c:ext xmlns:c16="http://schemas.microsoft.com/office/drawing/2014/chart" uri="{C3380CC4-5D6E-409C-BE32-E72D297353CC}">
              <c16:uniqueId val="{00000001-993E-43EF-84E5-45BC5FBF4431}"/>
            </c:ext>
          </c:extLst>
        </c:ser>
        <c:ser>
          <c:idx val="2"/>
          <c:order val="2"/>
          <c:tx>
            <c:strRef>
              <c:f>'Sleep &amp; Well-being'!$G$2:$G$3</c:f>
              <c:strCache>
                <c:ptCount val="1"/>
                <c:pt idx="0">
                  <c:v>6</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Well-being'!$G$4:$G$8</c:f>
              <c:numCache>
                <c:formatCode>General</c:formatCode>
                <c:ptCount val="5"/>
                <c:pt idx="0">
                  <c:v>18</c:v>
                </c:pt>
                <c:pt idx="1">
                  <c:v>4</c:v>
                </c:pt>
                <c:pt idx="2">
                  <c:v>4</c:v>
                </c:pt>
                <c:pt idx="3">
                  <c:v>4</c:v>
                </c:pt>
                <c:pt idx="4">
                  <c:v>4</c:v>
                </c:pt>
              </c:numCache>
            </c:numRef>
          </c:val>
          <c:extLst>
            <c:ext xmlns:c16="http://schemas.microsoft.com/office/drawing/2014/chart" uri="{C3380CC4-5D6E-409C-BE32-E72D297353CC}">
              <c16:uniqueId val="{00000002-993E-43EF-84E5-45BC5FBF4431}"/>
            </c:ext>
          </c:extLst>
        </c:ser>
        <c:ser>
          <c:idx val="3"/>
          <c:order val="3"/>
          <c:tx>
            <c:strRef>
              <c:f>'Sleep &amp; Well-being'!$H$2:$H$3</c:f>
              <c:strCache>
                <c:ptCount val="1"/>
                <c:pt idx="0">
                  <c:v>7</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Well-being'!$H$4:$H$8</c:f>
              <c:numCache>
                <c:formatCode>General</c:formatCode>
                <c:ptCount val="5"/>
                <c:pt idx="0">
                  <c:v>3</c:v>
                </c:pt>
                <c:pt idx="1">
                  <c:v>13</c:v>
                </c:pt>
                <c:pt idx="2">
                  <c:v>17</c:v>
                </c:pt>
                <c:pt idx="3">
                  <c:v>14</c:v>
                </c:pt>
                <c:pt idx="4">
                  <c:v>13</c:v>
                </c:pt>
              </c:numCache>
            </c:numRef>
          </c:val>
          <c:extLst>
            <c:ext xmlns:c16="http://schemas.microsoft.com/office/drawing/2014/chart" uri="{C3380CC4-5D6E-409C-BE32-E72D297353CC}">
              <c16:uniqueId val="{00000003-993E-43EF-84E5-45BC5FBF4431}"/>
            </c:ext>
          </c:extLst>
        </c:ser>
        <c:ser>
          <c:idx val="4"/>
          <c:order val="4"/>
          <c:tx>
            <c:strRef>
              <c:f>'Sleep &amp; Well-being'!$I$2:$I$3</c:f>
              <c:strCache>
                <c:ptCount val="1"/>
                <c:pt idx="0">
                  <c:v>8</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Well-being'!$I$4:$I$8</c:f>
              <c:numCache>
                <c:formatCode>General</c:formatCode>
                <c:ptCount val="5"/>
                <c:pt idx="1">
                  <c:v>7</c:v>
                </c:pt>
                <c:pt idx="2">
                  <c:v>5</c:v>
                </c:pt>
                <c:pt idx="3">
                  <c:v>6</c:v>
                </c:pt>
                <c:pt idx="4">
                  <c:v>6</c:v>
                </c:pt>
              </c:numCache>
            </c:numRef>
          </c:val>
          <c:extLst>
            <c:ext xmlns:c16="http://schemas.microsoft.com/office/drawing/2014/chart" uri="{C3380CC4-5D6E-409C-BE32-E72D297353CC}">
              <c16:uniqueId val="{00000004-993E-43EF-84E5-45BC5FBF4431}"/>
            </c:ext>
          </c:extLst>
        </c:ser>
        <c:ser>
          <c:idx val="5"/>
          <c:order val="5"/>
          <c:tx>
            <c:strRef>
              <c:f>'Sleep &amp; Well-being'!$J$2:$J$3</c:f>
              <c:strCache>
                <c:ptCount val="1"/>
                <c:pt idx="0">
                  <c:v>9</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'Sleep &amp; Well-being'!$D$4:$D$8</c:f>
              <c:strCache>
                <c:ptCount val="5"/>
                <c:pt idx="0">
                  <c:v>6.7</c:v>
                </c:pt>
                <c:pt idx="1">
                  <c:v>7.2</c:v>
                </c:pt>
                <c:pt idx="2">
                  <c:v>7.3</c:v>
                </c:pt>
                <c:pt idx="3">
                  <c:v>7.4</c:v>
                </c:pt>
                <c:pt idx="4">
                  <c:v>7.5</c:v>
                </c:pt>
              </c:strCache>
            </c:strRef>
          </c:cat>
          <c:val>
            <c:numRef>
              <c:f>'Sleep &amp; Well-being'!$J$4:$J$8</c:f>
              <c:numCache>
                <c:formatCode>General</c:formatCode>
                <c:ptCount val="5"/>
              </c:numCache>
            </c:numRef>
          </c:val>
          <c:extLst>
            <c:ext xmlns:c16="http://schemas.microsoft.com/office/drawing/2014/chart" uri="{C3380CC4-5D6E-409C-BE32-E72D297353CC}">
              <c16:uniqueId val="{00000005-993E-43EF-84E5-45BC5FBF4431}"/>
            </c:ext>
          </c:extLst>
        </c:ser>
        <c:dLbls>
          <c:showLegendKey val="0"/>
          <c:showVal val="0"/>
          <c:showCatName val="0"/>
          <c:showSerName val="0"/>
          <c:showPercent val="0"/>
          <c:showBubbleSize val="0"/>
        </c:dLbls>
        <c:gapWidth val="65"/>
        <c:shape val="box"/>
        <c:axId val="988109807"/>
        <c:axId val="988114607"/>
        <c:axId val="0"/>
      </c:bar3DChart>
      <c:catAx>
        <c:axId val="988109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8114607"/>
        <c:crosses val="autoZero"/>
        <c:auto val="1"/>
        <c:lblAlgn val="ctr"/>
        <c:lblOffset val="100"/>
        <c:noMultiLvlLbl val="0"/>
      </c:catAx>
      <c:valAx>
        <c:axId val="9881146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8109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4c</c:name>
    <c:fmtId val="2"/>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IN" sz="1600">
                <a:solidFill>
                  <a:schemeClr val="tx1">
                    <a:lumMod val="50000"/>
                    <a:lumOff val="50000"/>
                  </a:schemeClr>
                </a:solidFill>
              </a:rPr>
              <a:t>Negative</a:t>
            </a:r>
            <a:r>
              <a:rPr lang="en-IN" sz="1600" baseline="0">
                <a:solidFill>
                  <a:schemeClr val="tx1">
                    <a:lumMod val="50000"/>
                    <a:lumOff val="50000"/>
                  </a:schemeClr>
                </a:solidFill>
              </a:rPr>
              <a:t> Effect on Mental Health</a:t>
            </a:r>
            <a:endParaRPr lang="en-IN" sz="16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&amp; Well-being'!$M$2:$M$3</c:f>
              <c:strCache>
                <c:ptCount val="1"/>
                <c:pt idx="0">
                  <c:v>Bad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Well-being'!$L$4:$L$6</c:f>
              <c:strCache>
                <c:ptCount val="3"/>
                <c:pt idx="0">
                  <c:v>Average</c:v>
                </c:pt>
                <c:pt idx="1">
                  <c:v>High</c:v>
                </c:pt>
                <c:pt idx="2">
                  <c:v>Less</c:v>
                </c:pt>
              </c:strCache>
            </c:strRef>
          </c:cat>
          <c:val>
            <c:numRef>
              <c:f>'Sleep &amp; Well-being'!$M$4:$M$6</c:f>
              <c:numCache>
                <c:formatCode>General</c:formatCode>
                <c:ptCount val="3"/>
                <c:pt idx="0">
                  <c:v>263</c:v>
                </c:pt>
                <c:pt idx="1">
                  <c:v>276</c:v>
                </c:pt>
                <c:pt idx="2">
                  <c:v>31</c:v>
                </c:pt>
              </c:numCache>
            </c:numRef>
          </c:val>
          <c:extLst>
            <c:ext xmlns:c16="http://schemas.microsoft.com/office/drawing/2014/chart" uri="{C3380CC4-5D6E-409C-BE32-E72D297353CC}">
              <c16:uniqueId val="{00000000-B7A7-4AE6-920A-FDFC85745899}"/>
            </c:ext>
          </c:extLst>
        </c:ser>
        <c:ser>
          <c:idx val="1"/>
          <c:order val="1"/>
          <c:tx>
            <c:strRef>
              <c:f>'Sleep &amp; Well-being'!$N$2:$N$3</c:f>
              <c:strCache>
                <c:ptCount val="1"/>
                <c:pt idx="0">
                  <c:v>Good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Well-being'!$L$4:$L$6</c:f>
              <c:strCache>
                <c:ptCount val="3"/>
                <c:pt idx="0">
                  <c:v>Average</c:v>
                </c:pt>
                <c:pt idx="1">
                  <c:v>High</c:v>
                </c:pt>
                <c:pt idx="2">
                  <c:v>Less</c:v>
                </c:pt>
              </c:strCache>
            </c:strRef>
          </c:cat>
          <c:val>
            <c:numRef>
              <c:f>'Sleep &amp; Well-being'!$N$4:$N$6</c:f>
              <c:numCache>
                <c:formatCode>General</c:formatCode>
                <c:ptCount val="3"/>
                <c:pt idx="0">
                  <c:v>48</c:v>
                </c:pt>
                <c:pt idx="1">
                  <c:v>55</c:v>
                </c:pt>
                <c:pt idx="2">
                  <c:v>3</c:v>
                </c:pt>
              </c:numCache>
            </c:numRef>
          </c:val>
          <c:extLst>
            <c:ext xmlns:c16="http://schemas.microsoft.com/office/drawing/2014/chart" uri="{C3380CC4-5D6E-409C-BE32-E72D297353CC}">
              <c16:uniqueId val="{00000001-B7A7-4AE6-920A-FDFC85745899}"/>
            </c:ext>
          </c:extLst>
        </c:ser>
        <c:ser>
          <c:idx val="2"/>
          <c:order val="2"/>
          <c:tx>
            <c:strRef>
              <c:f>'Sleep &amp; Well-being'!$O$2:$O$3</c:f>
              <c:strCache>
                <c:ptCount val="1"/>
                <c:pt idx="0">
                  <c:v>Worst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Well-being'!$L$4:$L$6</c:f>
              <c:strCache>
                <c:ptCount val="3"/>
                <c:pt idx="0">
                  <c:v>Average</c:v>
                </c:pt>
                <c:pt idx="1">
                  <c:v>High</c:v>
                </c:pt>
                <c:pt idx="2">
                  <c:v>Less</c:v>
                </c:pt>
              </c:strCache>
            </c:strRef>
          </c:cat>
          <c:val>
            <c:numRef>
              <c:f>'Sleep &amp; Well-being'!$O$4:$O$6</c:f>
              <c:numCache>
                <c:formatCode>General</c:formatCode>
                <c:ptCount val="3"/>
                <c:pt idx="0">
                  <c:v>21</c:v>
                </c:pt>
                <c:pt idx="1">
                  <c:v>8</c:v>
                </c:pt>
              </c:numCache>
            </c:numRef>
          </c:val>
          <c:extLst>
            <c:ext xmlns:c16="http://schemas.microsoft.com/office/drawing/2014/chart" uri="{C3380CC4-5D6E-409C-BE32-E72D297353CC}">
              <c16:uniqueId val="{00000002-B7A7-4AE6-920A-FDFC85745899}"/>
            </c:ext>
          </c:extLst>
        </c:ser>
        <c:dLbls>
          <c:dLblPos val="outEnd"/>
          <c:showLegendKey val="0"/>
          <c:showVal val="1"/>
          <c:showCatName val="0"/>
          <c:showSerName val="0"/>
          <c:showPercent val="0"/>
          <c:showBubbleSize val="0"/>
        </c:dLbls>
        <c:gapWidth val="65"/>
        <c:axId val="988173647"/>
        <c:axId val="988171247"/>
      </c:barChart>
      <c:catAx>
        <c:axId val="988173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8171247"/>
        <c:crosses val="autoZero"/>
        <c:auto val="1"/>
        <c:lblAlgn val="ctr"/>
        <c:lblOffset val="100"/>
        <c:noMultiLvlLbl val="0"/>
      </c:catAx>
      <c:valAx>
        <c:axId val="988171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81736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Addiction.xlsx]Sleep &amp; Well-being!Question 4d</c:name>
    <c:fmtId val="2"/>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r>
              <a:rPr lang="en-IN" sz="1600">
                <a:solidFill>
                  <a:schemeClr val="tx1">
                    <a:lumMod val="50000"/>
                    <a:lumOff val="50000"/>
                  </a:schemeClr>
                </a:solidFill>
              </a:rPr>
              <a:t>Highest</a:t>
            </a:r>
            <a:r>
              <a:rPr lang="en-IN" sz="1600" baseline="0">
                <a:solidFill>
                  <a:schemeClr val="tx1">
                    <a:lumMod val="50000"/>
                    <a:lumOff val="50000"/>
                  </a:schemeClr>
                </a:solidFill>
              </a:rPr>
              <a:t> Negative Sleep Effect by Average Social Media Usage</a:t>
            </a:r>
            <a:endParaRPr lang="en-IN" sz="16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&amp; Well-being'!$R$3:$R$4</c:f>
              <c:strCache>
                <c:ptCount val="1"/>
                <c:pt idx="0">
                  <c:v>Average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Well-being'!$Q$5:$Q$7</c:f>
              <c:strCache>
                <c:ptCount val="3"/>
                <c:pt idx="0">
                  <c:v>Average</c:v>
                </c:pt>
                <c:pt idx="1">
                  <c:v>High</c:v>
                </c:pt>
                <c:pt idx="2">
                  <c:v>Less</c:v>
                </c:pt>
              </c:strCache>
            </c:strRef>
          </c:cat>
          <c:val>
            <c:numRef>
              <c:f>'Sleep &amp; Well-being'!$R$5:$R$7</c:f>
              <c:numCache>
                <c:formatCode>General</c:formatCode>
                <c:ptCount val="3"/>
                <c:pt idx="0">
                  <c:v>190</c:v>
                </c:pt>
                <c:pt idx="1">
                  <c:v>148</c:v>
                </c:pt>
                <c:pt idx="2">
                  <c:v>3</c:v>
                </c:pt>
              </c:numCache>
            </c:numRef>
          </c:val>
          <c:extLst>
            <c:ext xmlns:c16="http://schemas.microsoft.com/office/drawing/2014/chart" uri="{C3380CC4-5D6E-409C-BE32-E72D297353CC}">
              <c16:uniqueId val="{00000000-A121-46DA-BCBC-82D7A23D4A64}"/>
            </c:ext>
          </c:extLst>
        </c:ser>
        <c:ser>
          <c:idx val="1"/>
          <c:order val="1"/>
          <c:tx>
            <c:strRef>
              <c:f>'Sleep &amp; Well-being'!$S$3:$S$4</c:f>
              <c:strCache>
                <c:ptCount val="1"/>
                <c:pt idx="0">
                  <c:v>High</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Well-being'!$Q$5:$Q$7</c:f>
              <c:strCache>
                <c:ptCount val="3"/>
                <c:pt idx="0">
                  <c:v>Average</c:v>
                </c:pt>
                <c:pt idx="1">
                  <c:v>High</c:v>
                </c:pt>
                <c:pt idx="2">
                  <c:v>Less</c:v>
                </c:pt>
              </c:strCache>
            </c:strRef>
          </c:cat>
          <c:val>
            <c:numRef>
              <c:f>'Sleep &amp; Well-being'!$S$5:$S$7</c:f>
              <c:numCache>
                <c:formatCode>General</c:formatCode>
                <c:ptCount val="3"/>
                <c:pt idx="0">
                  <c:v>135</c:v>
                </c:pt>
                <c:pt idx="1">
                  <c:v>164</c:v>
                </c:pt>
                <c:pt idx="2">
                  <c:v>29</c:v>
                </c:pt>
              </c:numCache>
            </c:numRef>
          </c:val>
          <c:extLst>
            <c:ext xmlns:c16="http://schemas.microsoft.com/office/drawing/2014/chart" uri="{C3380CC4-5D6E-409C-BE32-E72D297353CC}">
              <c16:uniqueId val="{00000001-A121-46DA-BCBC-82D7A23D4A64}"/>
            </c:ext>
          </c:extLst>
        </c:ser>
        <c:ser>
          <c:idx val="2"/>
          <c:order val="2"/>
          <c:tx>
            <c:strRef>
              <c:f>'Sleep &amp; Well-being'!$T$3:$T$4</c:f>
              <c:strCache>
                <c:ptCount val="1"/>
                <c:pt idx="0">
                  <c:v>Less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&amp; Well-being'!$Q$5:$Q$7</c:f>
              <c:strCache>
                <c:ptCount val="3"/>
                <c:pt idx="0">
                  <c:v>Average</c:v>
                </c:pt>
                <c:pt idx="1">
                  <c:v>High</c:v>
                </c:pt>
                <c:pt idx="2">
                  <c:v>Less</c:v>
                </c:pt>
              </c:strCache>
            </c:strRef>
          </c:cat>
          <c:val>
            <c:numRef>
              <c:f>'Sleep &amp; Well-being'!$T$5:$T$7</c:f>
              <c:numCache>
                <c:formatCode>General</c:formatCode>
                <c:ptCount val="3"/>
                <c:pt idx="0">
                  <c:v>7</c:v>
                </c:pt>
                <c:pt idx="1">
                  <c:v>27</c:v>
                </c:pt>
                <c:pt idx="2">
                  <c:v>2</c:v>
                </c:pt>
              </c:numCache>
            </c:numRef>
          </c:val>
          <c:extLst>
            <c:ext xmlns:c16="http://schemas.microsoft.com/office/drawing/2014/chart" uri="{C3380CC4-5D6E-409C-BE32-E72D297353CC}">
              <c16:uniqueId val="{00000002-A121-46DA-BCBC-82D7A23D4A64}"/>
            </c:ext>
          </c:extLst>
        </c:ser>
        <c:dLbls>
          <c:dLblPos val="inEnd"/>
          <c:showLegendKey val="0"/>
          <c:showVal val="1"/>
          <c:showCatName val="0"/>
          <c:showSerName val="0"/>
          <c:showPercent val="0"/>
          <c:showBubbleSize val="0"/>
        </c:dLbls>
        <c:gapWidth val="65"/>
        <c:axId val="1124868511"/>
        <c:axId val="1124881951"/>
      </c:barChart>
      <c:catAx>
        <c:axId val="112486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81951"/>
        <c:crosses val="autoZero"/>
        <c:auto val="1"/>
        <c:lblAlgn val="ctr"/>
        <c:lblOffset val="100"/>
        <c:noMultiLvlLbl val="0"/>
      </c:catAx>
      <c:valAx>
        <c:axId val="11248819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4868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5a</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'Mental Health Indicators'!$B$2:$B$3</c:f>
              <c:strCache>
                <c:ptCount val="1"/>
                <c:pt idx="0">
                  <c:v>Bad</c:v>
                </c:pt>
              </c:strCache>
            </c:strRef>
          </c:tx>
          <c:spPr>
            <a:solidFill>
              <a:schemeClr val="accent1"/>
            </a:solidFill>
            <a:ln>
              <a:noFill/>
            </a:ln>
            <a:effectLst/>
          </c:spPr>
          <c:invertIfNegative val="0"/>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Indicators'!$B$4:$B$13</c:f>
              <c:numCache>
                <c:formatCode>General</c:formatCode>
                <c:ptCount val="10"/>
                <c:pt idx="0">
                  <c:v>34</c:v>
                </c:pt>
                <c:pt idx="1">
                  <c:v>8</c:v>
                </c:pt>
                <c:pt idx="2">
                  <c:v>27</c:v>
                </c:pt>
                <c:pt idx="3">
                  <c:v>44</c:v>
                </c:pt>
                <c:pt idx="4">
                  <c:v>27</c:v>
                </c:pt>
                <c:pt idx="5">
                  <c:v>27</c:v>
                </c:pt>
                <c:pt idx="6">
                  <c:v>27</c:v>
                </c:pt>
                <c:pt idx="7">
                  <c:v>8</c:v>
                </c:pt>
                <c:pt idx="8">
                  <c:v>27</c:v>
                </c:pt>
                <c:pt idx="9">
                  <c:v>28</c:v>
                </c:pt>
              </c:numCache>
            </c:numRef>
          </c:val>
          <c:extLst>
            <c:ext xmlns:c16="http://schemas.microsoft.com/office/drawing/2014/chart" uri="{C3380CC4-5D6E-409C-BE32-E72D297353CC}">
              <c16:uniqueId val="{00000000-1CA1-4769-A849-17CD19077CF6}"/>
            </c:ext>
          </c:extLst>
        </c:ser>
        <c:ser>
          <c:idx val="1"/>
          <c:order val="1"/>
          <c:tx>
            <c:strRef>
              <c:f>'Mental Health Indicators'!$C$2:$C$3</c:f>
              <c:strCache>
                <c:ptCount val="1"/>
                <c:pt idx="0">
                  <c:v>Good</c:v>
                </c:pt>
              </c:strCache>
            </c:strRef>
          </c:tx>
          <c:spPr>
            <a:solidFill>
              <a:schemeClr val="accent2"/>
            </a:solidFill>
            <a:ln>
              <a:noFill/>
            </a:ln>
            <a:effectLst/>
          </c:spPr>
          <c:invertIfNegative val="0"/>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Indicators'!$C$4:$C$13</c:f>
              <c:numCache>
                <c:formatCode>General</c:formatCode>
                <c:ptCount val="10"/>
                <c:pt idx="1">
                  <c:v>19</c:v>
                </c:pt>
                <c:pt idx="3">
                  <c:v>1</c:v>
                </c:pt>
                <c:pt idx="7">
                  <c:v>19</c:v>
                </c:pt>
              </c:numCache>
            </c:numRef>
          </c:val>
          <c:extLst>
            <c:ext xmlns:c16="http://schemas.microsoft.com/office/drawing/2014/chart" uri="{C3380CC4-5D6E-409C-BE32-E72D297353CC}">
              <c16:uniqueId val="{00000002-1CA1-4769-A849-17CD19077CF6}"/>
            </c:ext>
          </c:extLst>
        </c:ser>
        <c:ser>
          <c:idx val="2"/>
          <c:order val="2"/>
          <c:tx>
            <c:strRef>
              <c:f>'Mental Health Indicators'!$D$2:$D$3</c:f>
              <c:strCache>
                <c:ptCount val="1"/>
                <c:pt idx="0">
                  <c:v>Worst</c:v>
                </c:pt>
              </c:strCache>
            </c:strRef>
          </c:tx>
          <c:spPr>
            <a:solidFill>
              <a:schemeClr val="accent3"/>
            </a:solidFill>
            <a:ln>
              <a:noFill/>
            </a:ln>
            <a:effectLst/>
          </c:spPr>
          <c:invertIfNegative val="0"/>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Indicators'!$D$4:$D$13</c:f>
              <c:numCache>
                <c:formatCode>General</c:formatCode>
                <c:ptCount val="10"/>
                <c:pt idx="3">
                  <c:v>8</c:v>
                </c:pt>
                <c:pt idx="9">
                  <c:v>12</c:v>
                </c:pt>
              </c:numCache>
            </c:numRef>
          </c:val>
          <c:extLst>
            <c:ext xmlns:c16="http://schemas.microsoft.com/office/drawing/2014/chart" uri="{C3380CC4-5D6E-409C-BE32-E72D297353CC}">
              <c16:uniqueId val="{00000003-1CA1-4769-A849-17CD19077CF6}"/>
            </c:ext>
          </c:extLst>
        </c:ser>
        <c:dLbls>
          <c:showLegendKey val="0"/>
          <c:showVal val="0"/>
          <c:showCatName val="0"/>
          <c:showSerName val="0"/>
          <c:showPercent val="0"/>
          <c:showBubbleSize val="0"/>
        </c:dLbls>
        <c:gapWidth val="219"/>
        <c:overlap val="-27"/>
        <c:axId val="1124907871"/>
        <c:axId val="1124897311"/>
      </c:barChart>
      <c:catAx>
        <c:axId val="11249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97311"/>
        <c:crosses val="autoZero"/>
        <c:auto val="1"/>
        <c:lblAlgn val="ctr"/>
        <c:lblOffset val="100"/>
        <c:noMultiLvlLbl val="0"/>
      </c:catAx>
      <c:valAx>
        <c:axId val="112489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0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5b</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'Mental Health Indicators'!$G$2:$G$3</c:f>
              <c:strCache>
                <c:ptCount val="1"/>
                <c:pt idx="0">
                  <c:v>Bad</c:v>
                </c:pt>
              </c:strCache>
            </c:strRef>
          </c:tx>
          <c:spPr>
            <a:solidFill>
              <a:schemeClr val="accent1"/>
            </a:solidFill>
            <a:ln>
              <a:noFill/>
            </a:ln>
            <a:effectLst/>
          </c:spPr>
          <c:invertIfNegative val="0"/>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Indicators'!$G$4:$G$11</c:f>
              <c:numCache>
                <c:formatCode>General</c:formatCode>
                <c:ptCount val="8"/>
                <c:pt idx="2">
                  <c:v>3</c:v>
                </c:pt>
                <c:pt idx="3">
                  <c:v>127</c:v>
                </c:pt>
                <c:pt idx="4">
                  <c:v>61</c:v>
                </c:pt>
                <c:pt idx="5">
                  <c:v>209</c:v>
                </c:pt>
                <c:pt idx="6">
                  <c:v>143</c:v>
                </c:pt>
                <c:pt idx="7">
                  <c:v>27</c:v>
                </c:pt>
              </c:numCache>
            </c:numRef>
          </c:val>
          <c:extLst>
            <c:ext xmlns:c16="http://schemas.microsoft.com/office/drawing/2014/chart" uri="{C3380CC4-5D6E-409C-BE32-E72D297353CC}">
              <c16:uniqueId val="{00000000-0791-4FF5-924C-49980BECB3D6}"/>
            </c:ext>
          </c:extLst>
        </c:ser>
        <c:ser>
          <c:idx val="1"/>
          <c:order val="1"/>
          <c:tx>
            <c:strRef>
              <c:f>'Mental Health Indicators'!$H$2:$H$3</c:f>
              <c:strCache>
                <c:ptCount val="1"/>
                <c:pt idx="0">
                  <c:v>Good</c:v>
                </c:pt>
              </c:strCache>
            </c:strRef>
          </c:tx>
          <c:spPr>
            <a:solidFill>
              <a:schemeClr val="accent2"/>
            </a:solidFill>
            <a:ln>
              <a:noFill/>
            </a:ln>
            <a:effectLst/>
          </c:spPr>
          <c:invertIfNegative val="0"/>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Indicators'!$H$4:$H$11</c:f>
              <c:numCache>
                <c:formatCode>General</c:formatCode>
                <c:ptCount val="8"/>
                <c:pt idx="0">
                  <c:v>1</c:v>
                </c:pt>
                <c:pt idx="1">
                  <c:v>16</c:v>
                </c:pt>
                <c:pt idx="2">
                  <c:v>80</c:v>
                </c:pt>
                <c:pt idx="3">
                  <c:v>9</c:v>
                </c:pt>
              </c:numCache>
            </c:numRef>
          </c:val>
          <c:extLst>
            <c:ext xmlns:c16="http://schemas.microsoft.com/office/drawing/2014/chart" uri="{C3380CC4-5D6E-409C-BE32-E72D297353CC}">
              <c16:uniqueId val="{00000001-0791-4FF5-924C-49980BECB3D6}"/>
            </c:ext>
          </c:extLst>
        </c:ser>
        <c:ser>
          <c:idx val="2"/>
          <c:order val="2"/>
          <c:tx>
            <c:strRef>
              <c:f>'Mental Health Indicators'!$I$2:$I$3</c:f>
              <c:strCache>
                <c:ptCount val="1"/>
                <c:pt idx="0">
                  <c:v>Worst</c:v>
                </c:pt>
              </c:strCache>
            </c:strRef>
          </c:tx>
          <c:spPr>
            <a:solidFill>
              <a:schemeClr val="accent3"/>
            </a:solidFill>
            <a:ln>
              <a:noFill/>
            </a:ln>
            <a:effectLst/>
          </c:spPr>
          <c:invertIfNegative val="0"/>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Indicators'!$I$4:$I$11</c:f>
              <c:numCache>
                <c:formatCode>General</c:formatCode>
                <c:ptCount val="8"/>
                <c:pt idx="6">
                  <c:v>1</c:v>
                </c:pt>
                <c:pt idx="7">
                  <c:v>28</c:v>
                </c:pt>
              </c:numCache>
            </c:numRef>
          </c:val>
          <c:extLst>
            <c:ext xmlns:c16="http://schemas.microsoft.com/office/drawing/2014/chart" uri="{C3380CC4-5D6E-409C-BE32-E72D297353CC}">
              <c16:uniqueId val="{00000002-0791-4FF5-924C-49980BECB3D6}"/>
            </c:ext>
          </c:extLst>
        </c:ser>
        <c:dLbls>
          <c:showLegendKey val="0"/>
          <c:showVal val="0"/>
          <c:showCatName val="0"/>
          <c:showSerName val="0"/>
          <c:showPercent val="0"/>
          <c:showBubbleSize val="0"/>
        </c:dLbls>
        <c:gapWidth val="219"/>
        <c:overlap val="-27"/>
        <c:axId val="1124928031"/>
        <c:axId val="1124930911"/>
      </c:barChart>
      <c:catAx>
        <c:axId val="11249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30911"/>
        <c:crosses val="autoZero"/>
        <c:auto val="1"/>
        <c:lblAlgn val="ctr"/>
        <c:lblOffset val="100"/>
        <c:noMultiLvlLbl val="0"/>
      </c:catAx>
      <c:valAx>
        <c:axId val="112493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5c</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'Mental Health Indicators'!$M$3:$M$4</c:f>
              <c:strCache>
                <c:ptCount val="1"/>
                <c:pt idx="0">
                  <c:v>Bad</c:v>
                </c:pt>
              </c:strCache>
            </c:strRef>
          </c:tx>
          <c:spPr>
            <a:solidFill>
              <a:schemeClr val="accent1"/>
            </a:solidFill>
            <a:ln>
              <a:noFill/>
            </a:ln>
            <a:effectLst/>
          </c:spPr>
          <c:invertIfNegative val="0"/>
          <c:cat>
            <c:strRef>
              <c:f>'Mental Health Indicators'!$L$5:$L$9</c:f>
              <c:strCache>
                <c:ptCount val="5"/>
                <c:pt idx="0">
                  <c:v>Facebook</c:v>
                </c:pt>
                <c:pt idx="1">
                  <c:v>Instagram</c:v>
                </c:pt>
                <c:pt idx="2">
                  <c:v>TikTok</c:v>
                </c:pt>
                <c:pt idx="3">
                  <c:v>Twitter</c:v>
                </c:pt>
                <c:pt idx="4">
                  <c:v>WhatsApp</c:v>
                </c:pt>
              </c:strCache>
            </c:strRef>
          </c:cat>
          <c:val>
            <c:numRef>
              <c:f>'Mental Health Indicators'!$M$5:$M$9</c:f>
              <c:numCache>
                <c:formatCode>General</c:formatCode>
                <c:ptCount val="5"/>
                <c:pt idx="0">
                  <c:v>96</c:v>
                </c:pt>
                <c:pt idx="1">
                  <c:v>195</c:v>
                </c:pt>
                <c:pt idx="2">
                  <c:v>143</c:v>
                </c:pt>
                <c:pt idx="3">
                  <c:v>20</c:v>
                </c:pt>
                <c:pt idx="4">
                  <c:v>54</c:v>
                </c:pt>
              </c:numCache>
            </c:numRef>
          </c:val>
          <c:extLst>
            <c:ext xmlns:c16="http://schemas.microsoft.com/office/drawing/2014/chart" uri="{C3380CC4-5D6E-409C-BE32-E72D297353CC}">
              <c16:uniqueId val="{00000000-C4B1-4271-82DA-399D79F9AD4F}"/>
            </c:ext>
          </c:extLst>
        </c:ser>
        <c:ser>
          <c:idx val="1"/>
          <c:order val="1"/>
          <c:tx>
            <c:strRef>
              <c:f>'Mental Health Indicators'!$N$3:$N$4</c:f>
              <c:strCache>
                <c:ptCount val="1"/>
                <c:pt idx="0">
                  <c:v>Good</c:v>
                </c:pt>
              </c:strCache>
            </c:strRef>
          </c:tx>
          <c:spPr>
            <a:solidFill>
              <a:schemeClr val="accent2"/>
            </a:solidFill>
            <a:ln>
              <a:noFill/>
            </a:ln>
            <a:effectLst/>
          </c:spPr>
          <c:invertIfNegative val="0"/>
          <c:cat>
            <c:strRef>
              <c:f>'Mental Health Indicators'!$L$5:$L$9</c:f>
              <c:strCache>
                <c:ptCount val="5"/>
                <c:pt idx="0">
                  <c:v>Facebook</c:v>
                </c:pt>
                <c:pt idx="1">
                  <c:v>Instagram</c:v>
                </c:pt>
                <c:pt idx="2">
                  <c:v>TikTok</c:v>
                </c:pt>
                <c:pt idx="3">
                  <c:v>Twitter</c:v>
                </c:pt>
                <c:pt idx="4">
                  <c:v>WhatsApp</c:v>
                </c:pt>
              </c:strCache>
            </c:strRef>
          </c:cat>
          <c:val>
            <c:numRef>
              <c:f>'Mental Health Indicators'!$N$5:$N$9</c:f>
              <c:numCache>
                <c:formatCode>General</c:formatCode>
                <c:ptCount val="5"/>
                <c:pt idx="0">
                  <c:v>24</c:v>
                </c:pt>
                <c:pt idx="1">
                  <c:v>39</c:v>
                </c:pt>
                <c:pt idx="2">
                  <c:v>1</c:v>
                </c:pt>
                <c:pt idx="3">
                  <c:v>10</c:v>
                </c:pt>
              </c:numCache>
            </c:numRef>
          </c:val>
          <c:extLst>
            <c:ext xmlns:c16="http://schemas.microsoft.com/office/drawing/2014/chart" uri="{C3380CC4-5D6E-409C-BE32-E72D297353CC}">
              <c16:uniqueId val="{00000001-C4B1-4271-82DA-399D79F9AD4F}"/>
            </c:ext>
          </c:extLst>
        </c:ser>
        <c:ser>
          <c:idx val="2"/>
          <c:order val="2"/>
          <c:tx>
            <c:strRef>
              <c:f>'Mental Health Indicators'!$O$3:$O$4</c:f>
              <c:strCache>
                <c:ptCount val="1"/>
                <c:pt idx="0">
                  <c:v>Worst</c:v>
                </c:pt>
              </c:strCache>
            </c:strRef>
          </c:tx>
          <c:spPr>
            <a:solidFill>
              <a:schemeClr val="accent3"/>
            </a:solidFill>
            <a:ln>
              <a:noFill/>
            </a:ln>
            <a:effectLst/>
          </c:spPr>
          <c:invertIfNegative val="0"/>
          <c:cat>
            <c:strRef>
              <c:f>'Mental Health Indicators'!$L$5:$L$9</c:f>
              <c:strCache>
                <c:ptCount val="5"/>
                <c:pt idx="0">
                  <c:v>Facebook</c:v>
                </c:pt>
                <c:pt idx="1">
                  <c:v>Instagram</c:v>
                </c:pt>
                <c:pt idx="2">
                  <c:v>TikTok</c:v>
                </c:pt>
                <c:pt idx="3">
                  <c:v>Twitter</c:v>
                </c:pt>
                <c:pt idx="4">
                  <c:v>WhatsApp</c:v>
                </c:pt>
              </c:strCache>
            </c:strRef>
          </c:cat>
          <c:val>
            <c:numRef>
              <c:f>'Mental Health Indicators'!$O$5:$O$9</c:f>
              <c:numCache>
                <c:formatCode>General</c:formatCode>
                <c:ptCount val="5"/>
                <c:pt idx="0">
                  <c:v>3</c:v>
                </c:pt>
                <c:pt idx="1">
                  <c:v>15</c:v>
                </c:pt>
                <c:pt idx="2">
                  <c:v>10</c:v>
                </c:pt>
              </c:numCache>
            </c:numRef>
          </c:val>
          <c:extLst>
            <c:ext xmlns:c16="http://schemas.microsoft.com/office/drawing/2014/chart" uri="{C3380CC4-5D6E-409C-BE32-E72D297353CC}">
              <c16:uniqueId val="{00000002-C4B1-4271-82DA-399D79F9AD4F}"/>
            </c:ext>
          </c:extLst>
        </c:ser>
        <c:dLbls>
          <c:showLegendKey val="0"/>
          <c:showVal val="0"/>
          <c:showCatName val="0"/>
          <c:showSerName val="0"/>
          <c:showPercent val="0"/>
          <c:showBubbleSize val="0"/>
        </c:dLbls>
        <c:gapWidth val="219"/>
        <c:overlap val="-27"/>
        <c:axId val="1124886751"/>
        <c:axId val="1124887231"/>
      </c:barChart>
      <c:catAx>
        <c:axId val="11248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87231"/>
        <c:crosses val="autoZero"/>
        <c:auto val="1"/>
        <c:lblAlgn val="ctr"/>
        <c:lblOffset val="100"/>
        <c:noMultiLvlLbl val="0"/>
      </c:catAx>
      <c:valAx>
        <c:axId val="112488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5a</c:name>
    <c:fmtId val="2"/>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IN">
                <a:solidFill>
                  <a:schemeClr val="tx1">
                    <a:lumMod val="50000"/>
                    <a:lumOff val="50000"/>
                  </a:schemeClr>
                </a:solidFill>
              </a:rPr>
              <a:t>Mental Health Score Across Countries </a:t>
            </a:r>
          </a:p>
        </c:rich>
      </c:tx>
      <c:layout>
        <c:manualLayout>
          <c:xMode val="edge"/>
          <c:yMode val="edge"/>
          <c:x val="0.14932369892662795"/>
          <c:y val="7.65541091119875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3155725895483"/>
          <c:y val="0.2464547253384238"/>
          <c:w val="0.8123495667974785"/>
          <c:h val="0.55619348538947"/>
        </c:manualLayout>
      </c:layout>
      <c:barChart>
        <c:barDir val="col"/>
        <c:grouping val="clustered"/>
        <c:varyColors val="0"/>
        <c:ser>
          <c:idx val="0"/>
          <c:order val="0"/>
          <c:tx>
            <c:strRef>
              <c:f>'Mental Health Indicators'!$B$2:$B$3</c:f>
              <c:strCache>
                <c:ptCount val="1"/>
                <c:pt idx="0">
                  <c:v>Bad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Indicators'!$B$4:$B$13</c:f>
              <c:numCache>
                <c:formatCode>General</c:formatCode>
                <c:ptCount val="10"/>
                <c:pt idx="0">
                  <c:v>34</c:v>
                </c:pt>
                <c:pt idx="1">
                  <c:v>8</c:v>
                </c:pt>
                <c:pt idx="2">
                  <c:v>27</c:v>
                </c:pt>
                <c:pt idx="3">
                  <c:v>44</c:v>
                </c:pt>
                <c:pt idx="4">
                  <c:v>27</c:v>
                </c:pt>
                <c:pt idx="5">
                  <c:v>27</c:v>
                </c:pt>
                <c:pt idx="6">
                  <c:v>27</c:v>
                </c:pt>
                <c:pt idx="7">
                  <c:v>8</c:v>
                </c:pt>
                <c:pt idx="8">
                  <c:v>27</c:v>
                </c:pt>
                <c:pt idx="9">
                  <c:v>28</c:v>
                </c:pt>
              </c:numCache>
            </c:numRef>
          </c:val>
          <c:extLst>
            <c:ext xmlns:c16="http://schemas.microsoft.com/office/drawing/2014/chart" uri="{C3380CC4-5D6E-409C-BE32-E72D297353CC}">
              <c16:uniqueId val="{00000000-2994-4CEE-8EE2-FE4D83A4FFCC}"/>
            </c:ext>
          </c:extLst>
        </c:ser>
        <c:ser>
          <c:idx val="1"/>
          <c:order val="1"/>
          <c:tx>
            <c:strRef>
              <c:f>'Mental Health Indicators'!$C$2:$C$3</c:f>
              <c:strCache>
                <c:ptCount val="1"/>
                <c:pt idx="0">
                  <c:v>Good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Indicators'!$C$4:$C$13</c:f>
              <c:numCache>
                <c:formatCode>General</c:formatCode>
                <c:ptCount val="10"/>
                <c:pt idx="1">
                  <c:v>19</c:v>
                </c:pt>
                <c:pt idx="3">
                  <c:v>1</c:v>
                </c:pt>
                <c:pt idx="7">
                  <c:v>19</c:v>
                </c:pt>
              </c:numCache>
            </c:numRef>
          </c:val>
          <c:extLst>
            <c:ext xmlns:c16="http://schemas.microsoft.com/office/drawing/2014/chart" uri="{C3380CC4-5D6E-409C-BE32-E72D297353CC}">
              <c16:uniqueId val="{00000001-2994-4CEE-8EE2-FE4D83A4FFCC}"/>
            </c:ext>
          </c:extLst>
        </c:ser>
        <c:ser>
          <c:idx val="2"/>
          <c:order val="2"/>
          <c:tx>
            <c:strRef>
              <c:f>'Mental Health Indicators'!$D$2:$D$3</c:f>
              <c:strCache>
                <c:ptCount val="1"/>
                <c:pt idx="0">
                  <c:v>Worst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Indicators'!$A$4:$A$13</c:f>
              <c:strCache>
                <c:ptCount val="10"/>
                <c:pt idx="0">
                  <c:v>Canada</c:v>
                </c:pt>
                <c:pt idx="1">
                  <c:v>Denmark</c:v>
                </c:pt>
                <c:pt idx="2">
                  <c:v>France</c:v>
                </c:pt>
                <c:pt idx="3">
                  <c:v>India</c:v>
                </c:pt>
                <c:pt idx="4">
                  <c:v>Ireland</c:v>
                </c:pt>
                <c:pt idx="5">
                  <c:v>Mexico</c:v>
                </c:pt>
                <c:pt idx="6">
                  <c:v>Spain</c:v>
                </c:pt>
                <c:pt idx="7">
                  <c:v>Switzerland</c:v>
                </c:pt>
                <c:pt idx="8">
                  <c:v>Turkey</c:v>
                </c:pt>
                <c:pt idx="9">
                  <c:v>USA</c:v>
                </c:pt>
              </c:strCache>
            </c:strRef>
          </c:cat>
          <c:val>
            <c:numRef>
              <c:f>'Mental Health Indicators'!$D$4:$D$13</c:f>
              <c:numCache>
                <c:formatCode>General</c:formatCode>
                <c:ptCount val="10"/>
                <c:pt idx="3">
                  <c:v>8</c:v>
                </c:pt>
                <c:pt idx="9">
                  <c:v>12</c:v>
                </c:pt>
              </c:numCache>
            </c:numRef>
          </c:val>
          <c:extLst>
            <c:ext xmlns:c16="http://schemas.microsoft.com/office/drawing/2014/chart" uri="{C3380CC4-5D6E-409C-BE32-E72D297353CC}">
              <c16:uniqueId val="{00000002-2994-4CEE-8EE2-FE4D83A4FFCC}"/>
            </c:ext>
          </c:extLst>
        </c:ser>
        <c:dLbls>
          <c:dLblPos val="outEnd"/>
          <c:showLegendKey val="0"/>
          <c:showVal val="1"/>
          <c:showCatName val="0"/>
          <c:showSerName val="0"/>
          <c:showPercent val="0"/>
          <c:showBubbleSize val="0"/>
        </c:dLbls>
        <c:gapWidth val="65"/>
        <c:axId val="1124907871"/>
        <c:axId val="1124897311"/>
      </c:barChart>
      <c:catAx>
        <c:axId val="1124907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97311"/>
        <c:crosses val="autoZero"/>
        <c:auto val="1"/>
        <c:lblAlgn val="ctr"/>
        <c:lblOffset val="100"/>
        <c:noMultiLvlLbl val="0"/>
      </c:catAx>
      <c:valAx>
        <c:axId val="11248973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4907871"/>
        <c:crosses val="autoZero"/>
        <c:crossBetween val="between"/>
      </c:valAx>
      <c:spPr>
        <a:noFill/>
        <a:ln>
          <a:noFill/>
        </a:ln>
        <a:effectLst/>
      </c:spPr>
    </c:plotArea>
    <c:legend>
      <c:legendPos val="r"/>
      <c:layout>
        <c:manualLayout>
          <c:xMode val="edge"/>
          <c:yMode val="edge"/>
          <c:x val="0.71042156626427533"/>
          <c:y val="0.24390260557107543"/>
          <c:w val="0.2132060995636654"/>
          <c:h val="0.166588076678538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5b</c:name>
    <c:fmtId val="2"/>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IN">
                <a:solidFill>
                  <a:schemeClr val="tx1">
                    <a:lumMod val="50000"/>
                    <a:lumOff val="50000"/>
                  </a:schemeClr>
                </a:solidFill>
              </a:rPr>
              <a:t>Impact of Addictive Use on Mental Health</a:t>
            </a:r>
          </a:p>
        </c:rich>
      </c:tx>
      <c:layout>
        <c:manualLayout>
          <c:xMode val="edge"/>
          <c:yMode val="edge"/>
          <c:x val="0.1091055632302514"/>
          <c:y val="8.37052408160171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4936189781552"/>
          <c:y val="0.33881956091228671"/>
          <c:w val="0.80211206296824522"/>
          <c:h val="0.55774410870121383"/>
        </c:manualLayout>
      </c:layout>
      <c:barChart>
        <c:barDir val="col"/>
        <c:grouping val="clustered"/>
        <c:varyColors val="0"/>
        <c:ser>
          <c:idx val="0"/>
          <c:order val="0"/>
          <c:tx>
            <c:strRef>
              <c:f>'Mental Health Indicators'!$G$2:$G$3</c:f>
              <c:strCache>
                <c:ptCount val="1"/>
                <c:pt idx="0">
                  <c:v>Bad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Indicators'!$G$4:$G$11</c:f>
              <c:numCache>
                <c:formatCode>General</c:formatCode>
                <c:ptCount val="8"/>
                <c:pt idx="2">
                  <c:v>3</c:v>
                </c:pt>
                <c:pt idx="3">
                  <c:v>127</c:v>
                </c:pt>
                <c:pt idx="4">
                  <c:v>61</c:v>
                </c:pt>
                <c:pt idx="5">
                  <c:v>209</c:v>
                </c:pt>
                <c:pt idx="6">
                  <c:v>143</c:v>
                </c:pt>
                <c:pt idx="7">
                  <c:v>27</c:v>
                </c:pt>
              </c:numCache>
            </c:numRef>
          </c:val>
          <c:extLst>
            <c:ext xmlns:c16="http://schemas.microsoft.com/office/drawing/2014/chart" uri="{C3380CC4-5D6E-409C-BE32-E72D297353CC}">
              <c16:uniqueId val="{00000000-1EF7-44FF-B696-80D039C20364}"/>
            </c:ext>
          </c:extLst>
        </c:ser>
        <c:ser>
          <c:idx val="1"/>
          <c:order val="1"/>
          <c:tx>
            <c:strRef>
              <c:f>'Mental Health Indicators'!$H$2:$H$3</c:f>
              <c:strCache>
                <c:ptCount val="1"/>
                <c:pt idx="0">
                  <c:v>Good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Indicators'!$H$4:$H$11</c:f>
              <c:numCache>
                <c:formatCode>General</c:formatCode>
                <c:ptCount val="8"/>
                <c:pt idx="0">
                  <c:v>1</c:v>
                </c:pt>
                <c:pt idx="1">
                  <c:v>16</c:v>
                </c:pt>
                <c:pt idx="2">
                  <c:v>80</c:v>
                </c:pt>
                <c:pt idx="3">
                  <c:v>9</c:v>
                </c:pt>
              </c:numCache>
            </c:numRef>
          </c:val>
          <c:extLst>
            <c:ext xmlns:c16="http://schemas.microsoft.com/office/drawing/2014/chart" uri="{C3380CC4-5D6E-409C-BE32-E72D297353CC}">
              <c16:uniqueId val="{00000001-1EF7-44FF-B696-80D039C20364}"/>
            </c:ext>
          </c:extLst>
        </c:ser>
        <c:ser>
          <c:idx val="2"/>
          <c:order val="2"/>
          <c:tx>
            <c:strRef>
              <c:f>'Mental Health Indicators'!$I$2:$I$3</c:f>
              <c:strCache>
                <c:ptCount val="1"/>
                <c:pt idx="0">
                  <c:v>Worst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Indicators'!$F$4:$F$11</c:f>
              <c:strCache>
                <c:ptCount val="8"/>
                <c:pt idx="0">
                  <c:v>2</c:v>
                </c:pt>
                <c:pt idx="1">
                  <c:v>3</c:v>
                </c:pt>
                <c:pt idx="2">
                  <c:v>4</c:v>
                </c:pt>
                <c:pt idx="3">
                  <c:v>5</c:v>
                </c:pt>
                <c:pt idx="4">
                  <c:v>6</c:v>
                </c:pt>
                <c:pt idx="5">
                  <c:v>7</c:v>
                </c:pt>
                <c:pt idx="6">
                  <c:v>8</c:v>
                </c:pt>
                <c:pt idx="7">
                  <c:v>9</c:v>
                </c:pt>
              </c:strCache>
            </c:strRef>
          </c:cat>
          <c:val>
            <c:numRef>
              <c:f>'Mental Health Indicators'!$I$4:$I$11</c:f>
              <c:numCache>
                <c:formatCode>General</c:formatCode>
                <c:ptCount val="8"/>
                <c:pt idx="6">
                  <c:v>1</c:v>
                </c:pt>
                <c:pt idx="7">
                  <c:v>28</c:v>
                </c:pt>
              </c:numCache>
            </c:numRef>
          </c:val>
          <c:extLst>
            <c:ext xmlns:c16="http://schemas.microsoft.com/office/drawing/2014/chart" uri="{C3380CC4-5D6E-409C-BE32-E72D297353CC}">
              <c16:uniqueId val="{00000002-1EF7-44FF-B696-80D039C20364}"/>
            </c:ext>
          </c:extLst>
        </c:ser>
        <c:dLbls>
          <c:dLblPos val="outEnd"/>
          <c:showLegendKey val="0"/>
          <c:showVal val="1"/>
          <c:showCatName val="0"/>
          <c:showSerName val="0"/>
          <c:showPercent val="0"/>
          <c:showBubbleSize val="0"/>
        </c:dLbls>
        <c:gapWidth val="65"/>
        <c:axId val="1124928031"/>
        <c:axId val="1124930911"/>
      </c:barChart>
      <c:catAx>
        <c:axId val="11249280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930911"/>
        <c:crosses val="autoZero"/>
        <c:auto val="1"/>
        <c:lblAlgn val="ctr"/>
        <c:lblOffset val="100"/>
        <c:noMultiLvlLbl val="0"/>
      </c:catAx>
      <c:valAx>
        <c:axId val="11249309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4928031"/>
        <c:crosses val="autoZero"/>
        <c:crossBetween val="between"/>
      </c:valAx>
      <c:spPr>
        <a:noFill/>
        <a:ln>
          <a:noFill/>
        </a:ln>
        <a:effectLst/>
      </c:spPr>
    </c:plotArea>
    <c:legend>
      <c:legendPos val="r"/>
      <c:layout>
        <c:manualLayout>
          <c:xMode val="edge"/>
          <c:yMode val="edge"/>
          <c:x val="0.73919365776568591"/>
          <c:y val="0.15925997517458335"/>
          <c:w val="0.2021981754400862"/>
          <c:h val="0.156810786738300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Addiction.xlsx]Mental Health Indicators!Question 5c</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How Platform Relates to Student Mental Health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'Mental Health Indicators'!$M$3:$M$4</c:f>
              <c:strCache>
                <c:ptCount val="1"/>
                <c:pt idx="0">
                  <c:v>Bad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Indicators'!$L$5:$L$9</c:f>
              <c:strCache>
                <c:ptCount val="5"/>
                <c:pt idx="0">
                  <c:v>Facebook</c:v>
                </c:pt>
                <c:pt idx="1">
                  <c:v>Instagram</c:v>
                </c:pt>
                <c:pt idx="2">
                  <c:v>TikTok</c:v>
                </c:pt>
                <c:pt idx="3">
                  <c:v>Twitter</c:v>
                </c:pt>
                <c:pt idx="4">
                  <c:v>WhatsApp</c:v>
                </c:pt>
              </c:strCache>
            </c:strRef>
          </c:cat>
          <c:val>
            <c:numRef>
              <c:f>'Mental Health Indicators'!$M$5:$M$9</c:f>
              <c:numCache>
                <c:formatCode>General</c:formatCode>
                <c:ptCount val="5"/>
                <c:pt idx="0">
                  <c:v>96</c:v>
                </c:pt>
                <c:pt idx="1">
                  <c:v>195</c:v>
                </c:pt>
                <c:pt idx="2">
                  <c:v>143</c:v>
                </c:pt>
                <c:pt idx="3">
                  <c:v>20</c:v>
                </c:pt>
                <c:pt idx="4">
                  <c:v>54</c:v>
                </c:pt>
              </c:numCache>
            </c:numRef>
          </c:val>
          <c:extLst>
            <c:ext xmlns:c16="http://schemas.microsoft.com/office/drawing/2014/chart" uri="{C3380CC4-5D6E-409C-BE32-E72D297353CC}">
              <c16:uniqueId val="{00000000-0F01-45B4-8BC0-6C013ABC26F0}"/>
            </c:ext>
          </c:extLst>
        </c:ser>
        <c:ser>
          <c:idx val="1"/>
          <c:order val="1"/>
          <c:tx>
            <c:strRef>
              <c:f>'Mental Health Indicators'!$N$3:$N$4</c:f>
              <c:strCache>
                <c:ptCount val="1"/>
                <c:pt idx="0">
                  <c:v>Good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Indicators'!$L$5:$L$9</c:f>
              <c:strCache>
                <c:ptCount val="5"/>
                <c:pt idx="0">
                  <c:v>Facebook</c:v>
                </c:pt>
                <c:pt idx="1">
                  <c:v>Instagram</c:v>
                </c:pt>
                <c:pt idx="2">
                  <c:v>TikTok</c:v>
                </c:pt>
                <c:pt idx="3">
                  <c:v>Twitter</c:v>
                </c:pt>
                <c:pt idx="4">
                  <c:v>WhatsApp</c:v>
                </c:pt>
              </c:strCache>
            </c:strRef>
          </c:cat>
          <c:val>
            <c:numRef>
              <c:f>'Mental Health Indicators'!$N$5:$N$9</c:f>
              <c:numCache>
                <c:formatCode>General</c:formatCode>
                <c:ptCount val="5"/>
                <c:pt idx="0">
                  <c:v>24</c:v>
                </c:pt>
                <c:pt idx="1">
                  <c:v>39</c:v>
                </c:pt>
                <c:pt idx="2">
                  <c:v>1</c:v>
                </c:pt>
                <c:pt idx="3">
                  <c:v>10</c:v>
                </c:pt>
              </c:numCache>
            </c:numRef>
          </c:val>
          <c:extLst>
            <c:ext xmlns:c16="http://schemas.microsoft.com/office/drawing/2014/chart" uri="{C3380CC4-5D6E-409C-BE32-E72D297353CC}">
              <c16:uniqueId val="{00000001-0F01-45B4-8BC0-6C013ABC26F0}"/>
            </c:ext>
          </c:extLst>
        </c:ser>
        <c:ser>
          <c:idx val="2"/>
          <c:order val="2"/>
          <c:tx>
            <c:strRef>
              <c:f>'Mental Health Indicators'!$O$3:$O$4</c:f>
              <c:strCache>
                <c:ptCount val="1"/>
                <c:pt idx="0">
                  <c:v>Worst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'Mental Health Indicators'!$L$5:$L$9</c:f>
              <c:strCache>
                <c:ptCount val="5"/>
                <c:pt idx="0">
                  <c:v>Facebook</c:v>
                </c:pt>
                <c:pt idx="1">
                  <c:v>Instagram</c:v>
                </c:pt>
                <c:pt idx="2">
                  <c:v>TikTok</c:v>
                </c:pt>
                <c:pt idx="3">
                  <c:v>Twitter</c:v>
                </c:pt>
                <c:pt idx="4">
                  <c:v>WhatsApp</c:v>
                </c:pt>
              </c:strCache>
            </c:strRef>
          </c:cat>
          <c:val>
            <c:numRef>
              <c:f>'Mental Health Indicators'!$O$5:$O$9</c:f>
              <c:numCache>
                <c:formatCode>General</c:formatCode>
                <c:ptCount val="5"/>
                <c:pt idx="0">
                  <c:v>3</c:v>
                </c:pt>
                <c:pt idx="1">
                  <c:v>15</c:v>
                </c:pt>
                <c:pt idx="2">
                  <c:v>10</c:v>
                </c:pt>
              </c:numCache>
            </c:numRef>
          </c:val>
          <c:extLst>
            <c:ext xmlns:c16="http://schemas.microsoft.com/office/drawing/2014/chart" uri="{C3380CC4-5D6E-409C-BE32-E72D297353CC}">
              <c16:uniqueId val="{00000002-0F01-45B4-8BC0-6C013ABC26F0}"/>
            </c:ext>
          </c:extLst>
        </c:ser>
        <c:dLbls>
          <c:dLblPos val="outEnd"/>
          <c:showLegendKey val="0"/>
          <c:showVal val="1"/>
          <c:showCatName val="0"/>
          <c:showSerName val="0"/>
          <c:showPercent val="0"/>
          <c:showBubbleSize val="0"/>
        </c:dLbls>
        <c:gapWidth val="65"/>
        <c:axId val="1124886751"/>
        <c:axId val="1124887231"/>
      </c:barChart>
      <c:catAx>
        <c:axId val="1124886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87231"/>
        <c:crosses val="autoZero"/>
        <c:auto val="1"/>
        <c:lblAlgn val="ctr"/>
        <c:lblOffset val="100"/>
        <c:noMultiLvlLbl val="0"/>
      </c:catAx>
      <c:valAx>
        <c:axId val="1124887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4886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&amp; Social Conflict'!$B$1</c:f>
              <c:strCache>
                <c:ptCount val="1"/>
                <c:pt idx="0">
                  <c:v>Count of Conflicts_Over_Social_Media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'Relationship &amp; Social Conflict'!$A$2:$A$4</c:f>
              <c:strCache>
                <c:ptCount val="3"/>
                <c:pt idx="0">
                  <c:v>Complicated</c:v>
                </c:pt>
                <c:pt idx="1">
                  <c:v>In Relationship</c:v>
                </c:pt>
                <c:pt idx="2">
                  <c:v>Single</c:v>
                </c:pt>
              </c:strCache>
            </c:strRef>
          </c:cat>
          <c:val>
            <c:numRef>
              <c:f>'Relationship &amp; Social Conflict'!$B$2:$B$4</c:f>
              <c:numCache>
                <c:formatCode>General</c:formatCode>
                <c:ptCount val="3"/>
                <c:pt idx="0">
                  <c:v>32</c:v>
                </c:pt>
                <c:pt idx="1">
                  <c:v>289</c:v>
                </c:pt>
                <c:pt idx="2">
                  <c:v>384</c:v>
                </c:pt>
              </c:numCache>
            </c:numRef>
          </c:val>
          <c:extLst>
            <c:ext xmlns:c16="http://schemas.microsoft.com/office/drawing/2014/chart" uri="{C3380CC4-5D6E-409C-BE32-E72D297353CC}">
              <c16:uniqueId val="{00000000-1D11-41C1-9D4E-CE68C556C72B}"/>
            </c:ext>
          </c:extLst>
        </c:ser>
        <c:dLbls>
          <c:showLegendKey val="0"/>
          <c:showVal val="0"/>
          <c:showCatName val="0"/>
          <c:showSerName val="0"/>
          <c:showPercent val="0"/>
          <c:showBubbleSize val="0"/>
        </c:dLbls>
        <c:gapWidth val="219"/>
        <c:axId val="381505008"/>
        <c:axId val="381506448"/>
      </c:barChart>
      <c:lineChart>
        <c:grouping val="standard"/>
        <c:varyColors val="0"/>
        <c:ser>
          <c:idx val="1"/>
          <c:order val="1"/>
          <c:tx>
            <c:strRef>
              <c:f>'Relationship &amp; Social Conflict'!$C$1</c:f>
              <c:strCache>
                <c:ptCount val="1"/>
                <c:pt idx="0">
                  <c:v>Average of Conflicts_Over_Social_Media2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'Relationship &amp; Social Conflict'!$A$2:$A$4</c:f>
              <c:strCache>
                <c:ptCount val="3"/>
                <c:pt idx="0">
                  <c:v>Complicated</c:v>
                </c:pt>
                <c:pt idx="1">
                  <c:v>In Relationship</c:v>
                </c:pt>
                <c:pt idx="2">
                  <c:v>Single</c:v>
                </c:pt>
              </c:strCache>
            </c:strRef>
          </c:cat>
          <c:val>
            <c:numRef>
              <c:f>'Relationship &amp; Social Conflict'!$C$2:$C$4</c:f>
              <c:numCache>
                <c:formatCode>0.00</c:formatCode>
                <c:ptCount val="3"/>
                <c:pt idx="0">
                  <c:v>3.03125</c:v>
                </c:pt>
                <c:pt idx="1">
                  <c:v>2.7612456747404845</c:v>
                </c:pt>
                <c:pt idx="2">
                  <c:v>2.9010416666666665</c:v>
                </c:pt>
              </c:numCache>
            </c:numRef>
          </c:val>
          <c:smooth val="0"/>
          <c:extLst>
            <c:ext xmlns:c16="http://schemas.microsoft.com/office/drawing/2014/chart" uri="{C3380CC4-5D6E-409C-BE32-E72D297353CC}">
              <c16:uniqueId val="{00000002-1D11-41C1-9D4E-CE68C556C72B}"/>
            </c:ext>
          </c:extLst>
        </c:ser>
        <c:dLbls>
          <c:showLegendKey val="0"/>
          <c:showVal val="0"/>
          <c:showCatName val="0"/>
          <c:showSerName val="0"/>
          <c:showPercent val="0"/>
          <c:showBubbleSize val="0"/>
        </c:dLbls>
        <c:marker val="1"/>
        <c:smooth val="0"/>
        <c:axId val="381529968"/>
        <c:axId val="381529488"/>
      </c:lineChart>
      <c:catAx>
        <c:axId val="38150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506448"/>
        <c:crosses val="autoZero"/>
        <c:auto val="1"/>
        <c:lblAlgn val="ctr"/>
        <c:lblOffset val="100"/>
        <c:noMultiLvlLbl val="0"/>
      </c:catAx>
      <c:valAx>
        <c:axId val="381506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505008"/>
        <c:crosses val="autoZero"/>
        <c:crossBetween val="between"/>
      </c:valAx>
      <c:valAx>
        <c:axId val="38152948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529968"/>
        <c:crosses val="max"/>
        <c:crossBetween val="between"/>
      </c:valAx>
      <c:catAx>
        <c:axId val="381529968"/>
        <c:scaling>
          <c:orientation val="minMax"/>
        </c:scaling>
        <c:delete val="1"/>
        <c:axPos val="b"/>
        <c:numFmt formatCode="General" sourceLinked="1"/>
        <c:majorTickMark val="none"/>
        <c:minorTickMark val="none"/>
        <c:tickLblPos val="nextTo"/>
        <c:crossAx val="381529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Conflict!PivotTable3</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'Relationship &amp; Social Conflict'!$F$1:$F$2</c:f>
              <c:strCache>
                <c:ptCount val="1"/>
                <c:pt idx="0">
                  <c:v>High</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Conflict'!$F$3:$F$5</c:f>
              <c:numCache>
                <c:formatCode>General</c:formatCode>
                <c:ptCount val="3"/>
                <c:pt idx="0">
                  <c:v>24</c:v>
                </c:pt>
                <c:pt idx="1">
                  <c:v>142</c:v>
                </c:pt>
                <c:pt idx="2">
                  <c:v>242</c:v>
                </c:pt>
              </c:numCache>
            </c:numRef>
          </c:val>
          <c:extLst>
            <c:ext xmlns:c16="http://schemas.microsoft.com/office/drawing/2014/chart" uri="{C3380CC4-5D6E-409C-BE32-E72D297353CC}">
              <c16:uniqueId val="{00000000-0992-4531-8E38-3A8F2D8B7FBF}"/>
            </c:ext>
          </c:extLst>
        </c:ser>
        <c:ser>
          <c:idx val="1"/>
          <c:order val="1"/>
          <c:tx>
            <c:strRef>
              <c:f>'Relationship &amp; Social Conflict'!$G$1:$G$2</c:f>
              <c:strCache>
                <c:ptCount val="1"/>
                <c:pt idx="0">
                  <c:v>Less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Conflict'!$G$3:$G$5</c:f>
              <c:numCache>
                <c:formatCode>General</c:formatCode>
                <c:ptCount val="3"/>
                <c:pt idx="1">
                  <c:v>1</c:v>
                </c:pt>
                <c:pt idx="2">
                  <c:v>16</c:v>
                </c:pt>
              </c:numCache>
            </c:numRef>
          </c:val>
          <c:extLst>
            <c:ext xmlns:c16="http://schemas.microsoft.com/office/drawing/2014/chart" uri="{C3380CC4-5D6E-409C-BE32-E72D297353CC}">
              <c16:uniqueId val="{00000000-C92A-4D53-A1AC-5ADD31C9DB87}"/>
            </c:ext>
          </c:extLst>
        </c:ser>
        <c:ser>
          <c:idx val="2"/>
          <c:order val="2"/>
          <c:tx>
            <c:strRef>
              <c:f>'Relationship &amp; Social Conflict'!$H$1:$H$2</c:f>
              <c:strCache>
                <c:ptCount val="1"/>
                <c:pt idx="0">
                  <c:v>Medium</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Conflict'!$H$3:$H$5</c:f>
              <c:numCache>
                <c:formatCode>General</c:formatCode>
                <c:ptCount val="3"/>
                <c:pt idx="0">
                  <c:v>8</c:v>
                </c:pt>
                <c:pt idx="1">
                  <c:v>146</c:v>
                </c:pt>
                <c:pt idx="2">
                  <c:v>126</c:v>
                </c:pt>
              </c:numCache>
            </c:numRef>
          </c:val>
          <c:extLst>
            <c:ext xmlns:c16="http://schemas.microsoft.com/office/drawing/2014/chart" uri="{C3380CC4-5D6E-409C-BE32-E72D297353CC}">
              <c16:uniqueId val="{00000001-C92A-4D53-A1AC-5ADD31C9DB87}"/>
            </c:ext>
          </c:extLst>
        </c:ser>
        <c:dLbls>
          <c:showLegendKey val="0"/>
          <c:showVal val="0"/>
          <c:showCatName val="0"/>
          <c:showSerName val="0"/>
          <c:showPercent val="0"/>
          <c:showBubbleSize val="0"/>
        </c:dLbls>
        <c:gapWidth val="65"/>
        <c:shape val="box"/>
        <c:axId val="381552048"/>
        <c:axId val="381549168"/>
        <c:axId val="0"/>
      </c:bar3DChart>
      <c:catAx>
        <c:axId val="381552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1549168"/>
        <c:crosses val="autoZero"/>
        <c:auto val="1"/>
        <c:lblAlgn val="ctr"/>
        <c:lblOffset val="100"/>
        <c:noMultiLvlLbl val="0"/>
      </c:catAx>
      <c:valAx>
        <c:axId val="3815491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15520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Conflict!PivotTable4</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'Relationship &amp; Social Conflict'!$Q$1:$Q$2</c:f>
              <c:strCache>
                <c:ptCount val="1"/>
                <c:pt idx="0">
                  <c:v>0</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Conflict'!$Q$3:$Q$5</c:f>
              <c:numCache>
                <c:formatCode>General</c:formatCode>
                <c:ptCount val="3"/>
                <c:pt idx="2">
                  <c:v>4</c:v>
                </c:pt>
              </c:numCache>
            </c:numRef>
          </c:val>
          <c:extLst>
            <c:ext xmlns:c16="http://schemas.microsoft.com/office/drawing/2014/chart" uri="{C3380CC4-5D6E-409C-BE32-E72D297353CC}">
              <c16:uniqueId val="{00000000-5CF2-4301-8381-6CC3292B29F4}"/>
            </c:ext>
          </c:extLst>
        </c:ser>
        <c:ser>
          <c:idx val="1"/>
          <c:order val="1"/>
          <c:tx>
            <c:strRef>
              <c:f>'Relationship &amp; Social Conflict'!$R$1:$R$2</c:f>
              <c:strCache>
                <c:ptCount val="1"/>
                <c:pt idx="0">
                  <c:v>1</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Conflict'!$R$3:$R$5</c:f>
              <c:numCache>
                <c:formatCode>General</c:formatCode>
                <c:ptCount val="3"/>
                <c:pt idx="0">
                  <c:v>4</c:v>
                </c:pt>
                <c:pt idx="1">
                  <c:v>13</c:v>
                </c:pt>
                <c:pt idx="2">
                  <c:v>30</c:v>
                </c:pt>
              </c:numCache>
            </c:numRef>
          </c:val>
          <c:extLst>
            <c:ext xmlns:c16="http://schemas.microsoft.com/office/drawing/2014/chart" uri="{C3380CC4-5D6E-409C-BE32-E72D297353CC}">
              <c16:uniqueId val="{00000002-5CF2-4301-8381-6CC3292B29F4}"/>
            </c:ext>
          </c:extLst>
        </c:ser>
        <c:ser>
          <c:idx val="2"/>
          <c:order val="2"/>
          <c:tx>
            <c:strRef>
              <c:f>'Relationship &amp; Social Conflict'!$S$1:$S$2</c:f>
              <c:strCache>
                <c:ptCount val="1"/>
                <c:pt idx="0">
                  <c:v>2</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Conflict'!$S$3:$S$5</c:f>
              <c:numCache>
                <c:formatCode>General</c:formatCode>
                <c:ptCount val="3"/>
                <c:pt idx="0">
                  <c:v>4</c:v>
                </c:pt>
                <c:pt idx="1">
                  <c:v>123</c:v>
                </c:pt>
                <c:pt idx="2">
                  <c:v>77</c:v>
                </c:pt>
              </c:numCache>
            </c:numRef>
          </c:val>
          <c:extLst>
            <c:ext xmlns:c16="http://schemas.microsoft.com/office/drawing/2014/chart" uri="{C3380CC4-5D6E-409C-BE32-E72D297353CC}">
              <c16:uniqueId val="{00000003-5CF2-4301-8381-6CC3292B29F4}"/>
            </c:ext>
          </c:extLst>
        </c:ser>
        <c:ser>
          <c:idx val="3"/>
          <c:order val="3"/>
          <c:tx>
            <c:strRef>
              <c:f>'Relationship &amp; Social Conflict'!$T$1:$T$2</c:f>
              <c:strCache>
                <c:ptCount val="1"/>
                <c:pt idx="0">
                  <c:v>3</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Conflict'!$T$3:$T$5</c:f>
              <c:numCache>
                <c:formatCode>General</c:formatCode>
                <c:ptCount val="3"/>
                <c:pt idx="0">
                  <c:v>12</c:v>
                </c:pt>
                <c:pt idx="1">
                  <c:v>73</c:v>
                </c:pt>
                <c:pt idx="2">
                  <c:v>176</c:v>
                </c:pt>
              </c:numCache>
            </c:numRef>
          </c:val>
          <c:extLst>
            <c:ext xmlns:c16="http://schemas.microsoft.com/office/drawing/2014/chart" uri="{C3380CC4-5D6E-409C-BE32-E72D297353CC}">
              <c16:uniqueId val="{00000004-5CF2-4301-8381-6CC3292B29F4}"/>
            </c:ext>
          </c:extLst>
        </c:ser>
        <c:ser>
          <c:idx val="4"/>
          <c:order val="4"/>
          <c:tx>
            <c:strRef>
              <c:f>'Relationship &amp; Social Conflict'!$U$1:$U$2</c:f>
              <c:strCache>
                <c:ptCount val="1"/>
                <c:pt idx="0">
                  <c:v>4</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Conflict'!$U$3:$U$5</c:f>
              <c:numCache>
                <c:formatCode>General</c:formatCode>
                <c:ptCount val="3"/>
                <c:pt idx="0">
                  <c:v>11</c:v>
                </c:pt>
                <c:pt idx="1">
                  <c:v>80</c:v>
                </c:pt>
                <c:pt idx="2">
                  <c:v>83</c:v>
                </c:pt>
              </c:numCache>
            </c:numRef>
          </c:val>
          <c:extLst>
            <c:ext xmlns:c16="http://schemas.microsoft.com/office/drawing/2014/chart" uri="{C3380CC4-5D6E-409C-BE32-E72D297353CC}">
              <c16:uniqueId val="{00000005-5CF2-4301-8381-6CC3292B29F4}"/>
            </c:ext>
          </c:extLst>
        </c:ser>
        <c:ser>
          <c:idx val="5"/>
          <c:order val="5"/>
          <c:tx>
            <c:strRef>
              <c:f>'Relationship &amp; Social Conflict'!$V$1:$V$2</c:f>
              <c:strCache>
                <c:ptCount val="1"/>
                <c:pt idx="0">
                  <c:v>5</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Conflict'!$V$3:$V$5</c:f>
              <c:numCache>
                <c:formatCode>General</c:formatCode>
                <c:ptCount val="3"/>
                <c:pt idx="0">
                  <c:v>1</c:v>
                </c:pt>
                <c:pt idx="2">
                  <c:v>14</c:v>
                </c:pt>
              </c:numCache>
            </c:numRef>
          </c:val>
          <c:extLst>
            <c:ext xmlns:c16="http://schemas.microsoft.com/office/drawing/2014/chart" uri="{C3380CC4-5D6E-409C-BE32-E72D297353CC}">
              <c16:uniqueId val="{00000006-5CF2-4301-8381-6CC3292B29F4}"/>
            </c:ext>
          </c:extLst>
        </c:ser>
        <c:dLbls>
          <c:showLegendKey val="0"/>
          <c:showVal val="0"/>
          <c:showCatName val="0"/>
          <c:showSerName val="0"/>
          <c:showPercent val="0"/>
          <c:showBubbleSize val="0"/>
        </c:dLbls>
        <c:gapWidth val="65"/>
        <c:shape val="box"/>
        <c:axId val="381555408"/>
        <c:axId val="381562128"/>
        <c:axId val="0"/>
      </c:bar3DChart>
      <c:catAx>
        <c:axId val="3815554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1562128"/>
        <c:crosses val="autoZero"/>
        <c:auto val="1"/>
        <c:lblAlgn val="ctr"/>
        <c:lblOffset val="100"/>
        <c:noMultiLvlLbl val="0"/>
      </c:catAx>
      <c:valAx>
        <c:axId val="381562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1555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Conflicts</a:t>
            </a:r>
            <a:r>
              <a:rPr lang="en-IN" b="1" baseline="0"/>
              <a:t> by Relationship Status</a:t>
            </a:r>
            <a:endParaRPr lang="en-IN" b="1"/>
          </a:p>
        </c:rich>
      </c:tx>
      <c:layout>
        <c:manualLayout>
          <c:xMode val="edge"/>
          <c:yMode val="edge"/>
          <c:x val="0.23339566929133859"/>
          <c:y val="8.90814993688391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716488544988827"/>
          <c:w val="0.76297703412073492"/>
          <c:h val="0.55471436802006591"/>
        </c:manualLayout>
      </c:layout>
      <c:barChart>
        <c:barDir val="col"/>
        <c:grouping val="clustered"/>
        <c:varyColors val="0"/>
        <c:ser>
          <c:idx val="0"/>
          <c:order val="0"/>
          <c:tx>
            <c:strRef>
              <c:f>'Relationship &amp; Social Conflict'!$B$1</c:f>
              <c:strCache>
                <c:ptCount val="1"/>
                <c:pt idx="0">
                  <c:v>Count of Conflicts_Over_Social_Media</c:v>
                </c:pt>
              </c:strCache>
            </c:strRef>
          </c:tx>
          <c:spPr>
            <a:solidFill>
              <a:schemeClr val="accent1"/>
            </a:solidFill>
            <a:ln>
              <a:noFill/>
            </a:ln>
            <a:effectLst/>
          </c:spPr>
          <c:invertIfNegative val="0"/>
          <c:cat>
            <c:strRef>
              <c:f>'Relationship &amp; Social Conflict'!$A$2:$A$4</c:f>
              <c:strCache>
                <c:ptCount val="3"/>
                <c:pt idx="0">
                  <c:v>Complicated</c:v>
                </c:pt>
                <c:pt idx="1">
                  <c:v>In Relationship</c:v>
                </c:pt>
                <c:pt idx="2">
                  <c:v>Single</c:v>
                </c:pt>
              </c:strCache>
            </c:strRef>
          </c:cat>
          <c:val>
            <c:numRef>
              <c:f>'Relationship &amp; Social Conflict'!$B$2:$B$4</c:f>
              <c:numCache>
                <c:formatCode>General</c:formatCode>
                <c:ptCount val="3"/>
                <c:pt idx="0">
                  <c:v>32</c:v>
                </c:pt>
                <c:pt idx="1">
                  <c:v>289</c:v>
                </c:pt>
                <c:pt idx="2">
                  <c:v>384</c:v>
                </c:pt>
              </c:numCache>
            </c:numRef>
          </c:val>
          <c:extLst>
            <c:ext xmlns:c16="http://schemas.microsoft.com/office/drawing/2014/chart" uri="{C3380CC4-5D6E-409C-BE32-E72D297353CC}">
              <c16:uniqueId val="{00000000-3D33-4556-A499-5222A9D54FB2}"/>
            </c:ext>
          </c:extLst>
        </c:ser>
        <c:dLbls>
          <c:showLegendKey val="0"/>
          <c:showVal val="0"/>
          <c:showCatName val="0"/>
          <c:showSerName val="0"/>
          <c:showPercent val="0"/>
          <c:showBubbleSize val="0"/>
        </c:dLbls>
        <c:gapWidth val="219"/>
        <c:axId val="381505008"/>
        <c:axId val="381506448"/>
      </c:barChart>
      <c:lineChart>
        <c:grouping val="standard"/>
        <c:varyColors val="0"/>
        <c:ser>
          <c:idx val="1"/>
          <c:order val="1"/>
          <c:tx>
            <c:strRef>
              <c:f>'Relationship &amp; Social Conflict'!$C$1</c:f>
              <c:strCache>
                <c:ptCount val="1"/>
                <c:pt idx="0">
                  <c:v>Average of Conflicts_Over_Social_Media2</c:v>
                </c:pt>
              </c:strCache>
            </c:strRef>
          </c:tx>
          <c:spPr>
            <a:ln w="28575" cap="rnd">
              <a:solidFill>
                <a:schemeClr val="accent2"/>
              </a:solidFill>
              <a:round/>
            </a:ln>
            <a:effectLst/>
          </c:spPr>
          <c:marker>
            <c:symbol val="none"/>
          </c:marker>
          <c:cat>
            <c:strRef>
              <c:f>'Relationship &amp; Social Conflict'!$A$2:$A$4</c:f>
              <c:strCache>
                <c:ptCount val="3"/>
                <c:pt idx="0">
                  <c:v>Complicated</c:v>
                </c:pt>
                <c:pt idx="1">
                  <c:v>In Relationship</c:v>
                </c:pt>
                <c:pt idx="2">
                  <c:v>Single</c:v>
                </c:pt>
              </c:strCache>
            </c:strRef>
          </c:cat>
          <c:val>
            <c:numRef>
              <c:f>'Relationship &amp; Social Conflict'!$C$2:$C$4</c:f>
              <c:numCache>
                <c:formatCode>0.00</c:formatCode>
                <c:ptCount val="3"/>
                <c:pt idx="0">
                  <c:v>3.03125</c:v>
                </c:pt>
                <c:pt idx="1">
                  <c:v>2.7612456747404845</c:v>
                </c:pt>
                <c:pt idx="2">
                  <c:v>2.9010416666666665</c:v>
                </c:pt>
              </c:numCache>
            </c:numRef>
          </c:val>
          <c:smooth val="0"/>
          <c:extLst>
            <c:ext xmlns:c16="http://schemas.microsoft.com/office/drawing/2014/chart" uri="{C3380CC4-5D6E-409C-BE32-E72D297353CC}">
              <c16:uniqueId val="{00000001-3D33-4556-A499-5222A9D54FB2}"/>
            </c:ext>
          </c:extLst>
        </c:ser>
        <c:dLbls>
          <c:showLegendKey val="0"/>
          <c:showVal val="0"/>
          <c:showCatName val="0"/>
          <c:showSerName val="0"/>
          <c:showPercent val="0"/>
          <c:showBubbleSize val="0"/>
        </c:dLbls>
        <c:marker val="1"/>
        <c:smooth val="0"/>
        <c:axId val="381529968"/>
        <c:axId val="381529488"/>
      </c:lineChart>
      <c:catAx>
        <c:axId val="3815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06448"/>
        <c:crosses val="autoZero"/>
        <c:auto val="1"/>
        <c:lblAlgn val="ctr"/>
        <c:lblOffset val="100"/>
        <c:noMultiLvlLbl val="0"/>
      </c:catAx>
      <c:valAx>
        <c:axId val="38150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05008"/>
        <c:crosses val="autoZero"/>
        <c:crossBetween val="between"/>
      </c:valAx>
      <c:valAx>
        <c:axId val="3815294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29968"/>
        <c:crosses val="max"/>
        <c:crossBetween val="between"/>
      </c:valAx>
      <c:catAx>
        <c:axId val="381529968"/>
        <c:scaling>
          <c:orientation val="minMax"/>
        </c:scaling>
        <c:delete val="1"/>
        <c:axPos val="b"/>
        <c:numFmt formatCode="General" sourceLinked="1"/>
        <c:majorTickMark val="out"/>
        <c:minorTickMark val="none"/>
        <c:tickLblPos val="nextTo"/>
        <c:crossAx val="381529488"/>
        <c:crosses val="autoZero"/>
        <c:auto val="1"/>
        <c:lblAlgn val="ctr"/>
        <c:lblOffset val="100"/>
        <c:noMultiLvlLbl val="0"/>
      </c:catAx>
      <c:spPr>
        <a:noFill/>
        <a:ln>
          <a:noFill/>
        </a:ln>
        <a:effectLst/>
      </c:spPr>
    </c:plotArea>
    <c:legend>
      <c:legendPos val="r"/>
      <c:layout>
        <c:manualLayout>
          <c:xMode val="edge"/>
          <c:yMode val="edge"/>
          <c:x val="0.34722222222222221"/>
          <c:y val="0.82250639981249207"/>
          <c:w val="0.58611111111111114"/>
          <c:h val="0.14236810321629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Conflict!PivotTable3</c:name>
    <c:fmtId val="7"/>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IN">
                <a:solidFill>
                  <a:schemeClr val="tx1">
                    <a:lumMod val="50000"/>
                    <a:lumOff val="50000"/>
                  </a:schemeClr>
                </a:solidFill>
              </a:rPr>
              <a:t>Addiction Level by Relationship Status</a:t>
            </a:r>
          </a:p>
        </c:rich>
      </c:tx>
      <c:layout>
        <c:manualLayout>
          <c:xMode val="edge"/>
          <c:yMode val="edge"/>
          <c:x val="0.10340153177574114"/>
          <c:y val="6.63787994242655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48453164665893E-2"/>
          <c:y val="0.18101449684380849"/>
          <c:w val="0.67683296760036138"/>
          <c:h val="0.69956424801738504"/>
        </c:manualLayout>
      </c:layout>
      <c:bar3DChart>
        <c:barDir val="col"/>
        <c:grouping val="clustered"/>
        <c:varyColors val="0"/>
        <c:ser>
          <c:idx val="0"/>
          <c:order val="0"/>
          <c:tx>
            <c:strRef>
              <c:f>'Relationship &amp; Social Conflict'!$F$1:$F$2</c:f>
              <c:strCache>
                <c:ptCount val="1"/>
                <c:pt idx="0">
                  <c:v>High</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Conflict'!$F$3:$F$5</c:f>
              <c:numCache>
                <c:formatCode>General</c:formatCode>
                <c:ptCount val="3"/>
                <c:pt idx="0">
                  <c:v>24</c:v>
                </c:pt>
                <c:pt idx="1">
                  <c:v>142</c:v>
                </c:pt>
                <c:pt idx="2">
                  <c:v>242</c:v>
                </c:pt>
              </c:numCache>
            </c:numRef>
          </c:val>
          <c:extLst>
            <c:ext xmlns:c16="http://schemas.microsoft.com/office/drawing/2014/chart" uri="{C3380CC4-5D6E-409C-BE32-E72D297353CC}">
              <c16:uniqueId val="{00000000-6C14-4AAC-9A9C-11BF470A39D5}"/>
            </c:ext>
          </c:extLst>
        </c:ser>
        <c:ser>
          <c:idx val="1"/>
          <c:order val="1"/>
          <c:tx>
            <c:strRef>
              <c:f>'Relationship &amp; Social Conflict'!$G$1:$G$2</c:f>
              <c:strCache>
                <c:ptCount val="1"/>
                <c:pt idx="0">
                  <c:v>Less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Conflict'!$G$3:$G$5</c:f>
              <c:numCache>
                <c:formatCode>General</c:formatCode>
                <c:ptCount val="3"/>
                <c:pt idx="1">
                  <c:v>1</c:v>
                </c:pt>
                <c:pt idx="2">
                  <c:v>16</c:v>
                </c:pt>
              </c:numCache>
            </c:numRef>
          </c:val>
          <c:extLst>
            <c:ext xmlns:c16="http://schemas.microsoft.com/office/drawing/2014/chart" uri="{C3380CC4-5D6E-409C-BE32-E72D297353CC}">
              <c16:uniqueId val="{00000001-61C6-4764-8C62-4EA8533109F4}"/>
            </c:ext>
          </c:extLst>
        </c:ser>
        <c:ser>
          <c:idx val="2"/>
          <c:order val="2"/>
          <c:tx>
            <c:strRef>
              <c:f>'Relationship &amp; Social Conflict'!$H$1:$H$2</c:f>
              <c:strCache>
                <c:ptCount val="1"/>
                <c:pt idx="0">
                  <c:v>Medium</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'Relationship &amp; Social Conflict'!$E$3:$E$5</c:f>
              <c:strCache>
                <c:ptCount val="3"/>
                <c:pt idx="0">
                  <c:v>Complicated</c:v>
                </c:pt>
                <c:pt idx="1">
                  <c:v>In Relationship</c:v>
                </c:pt>
                <c:pt idx="2">
                  <c:v>Single</c:v>
                </c:pt>
              </c:strCache>
            </c:strRef>
          </c:cat>
          <c:val>
            <c:numRef>
              <c:f>'Relationship &amp; Social Conflict'!$H$3:$H$5</c:f>
              <c:numCache>
                <c:formatCode>General</c:formatCode>
                <c:ptCount val="3"/>
                <c:pt idx="0">
                  <c:v>8</c:v>
                </c:pt>
                <c:pt idx="1">
                  <c:v>146</c:v>
                </c:pt>
                <c:pt idx="2">
                  <c:v>126</c:v>
                </c:pt>
              </c:numCache>
            </c:numRef>
          </c:val>
          <c:extLst>
            <c:ext xmlns:c16="http://schemas.microsoft.com/office/drawing/2014/chart" uri="{C3380CC4-5D6E-409C-BE32-E72D297353CC}">
              <c16:uniqueId val="{00000002-61C6-4764-8C62-4EA8533109F4}"/>
            </c:ext>
          </c:extLst>
        </c:ser>
        <c:dLbls>
          <c:showLegendKey val="0"/>
          <c:showVal val="0"/>
          <c:showCatName val="0"/>
          <c:showSerName val="0"/>
          <c:showPercent val="0"/>
          <c:showBubbleSize val="0"/>
        </c:dLbls>
        <c:gapWidth val="65"/>
        <c:shape val="box"/>
        <c:axId val="381552048"/>
        <c:axId val="381549168"/>
        <c:axId val="0"/>
      </c:bar3DChart>
      <c:catAx>
        <c:axId val="381552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1549168"/>
        <c:crosses val="autoZero"/>
        <c:auto val="1"/>
        <c:lblAlgn val="ctr"/>
        <c:lblOffset val="100"/>
        <c:noMultiLvlLbl val="0"/>
      </c:catAx>
      <c:valAx>
        <c:axId val="3815491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15520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Addiction.xlsx]Relationship &amp; Social Conflict!PivotTable4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70913946445804"/>
          <c:y val="8.9054546147833216E-2"/>
          <c:w val="0.8272400338700987"/>
          <c:h val="0.68904730129072844"/>
        </c:manualLayout>
      </c:layout>
      <c:bar3DChart>
        <c:barDir val="col"/>
        <c:grouping val="clustered"/>
        <c:varyColors val="0"/>
        <c:ser>
          <c:idx val="0"/>
          <c:order val="0"/>
          <c:tx>
            <c:strRef>
              <c:f>'Relationship &amp; Social Conflict'!$Q$1:$Q$2</c:f>
              <c:strCache>
                <c:ptCount val="1"/>
                <c:pt idx="0">
                  <c:v>0</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Conflict'!$Q$3:$Q$5</c:f>
              <c:numCache>
                <c:formatCode>General</c:formatCode>
                <c:ptCount val="3"/>
                <c:pt idx="2">
                  <c:v>4</c:v>
                </c:pt>
              </c:numCache>
            </c:numRef>
          </c:val>
          <c:extLst>
            <c:ext xmlns:c16="http://schemas.microsoft.com/office/drawing/2014/chart" uri="{C3380CC4-5D6E-409C-BE32-E72D297353CC}">
              <c16:uniqueId val="{00000000-3C39-4B6A-968B-96B3B25ACE87}"/>
            </c:ext>
          </c:extLst>
        </c:ser>
        <c:ser>
          <c:idx val="1"/>
          <c:order val="1"/>
          <c:tx>
            <c:strRef>
              <c:f>'Relationship &amp; Social Conflict'!$R$1:$R$2</c:f>
              <c:strCache>
                <c:ptCount val="1"/>
                <c:pt idx="0">
                  <c:v>1</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Conflict'!$R$3:$R$5</c:f>
              <c:numCache>
                <c:formatCode>General</c:formatCode>
                <c:ptCount val="3"/>
                <c:pt idx="0">
                  <c:v>4</c:v>
                </c:pt>
                <c:pt idx="1">
                  <c:v>13</c:v>
                </c:pt>
                <c:pt idx="2">
                  <c:v>30</c:v>
                </c:pt>
              </c:numCache>
            </c:numRef>
          </c:val>
          <c:extLst>
            <c:ext xmlns:c16="http://schemas.microsoft.com/office/drawing/2014/chart" uri="{C3380CC4-5D6E-409C-BE32-E72D297353CC}">
              <c16:uniqueId val="{00000001-3C39-4B6A-968B-96B3B25ACE87}"/>
            </c:ext>
          </c:extLst>
        </c:ser>
        <c:ser>
          <c:idx val="2"/>
          <c:order val="2"/>
          <c:tx>
            <c:strRef>
              <c:f>'Relationship &amp; Social Conflict'!$S$1:$S$2</c:f>
              <c:strCache>
                <c:ptCount val="1"/>
                <c:pt idx="0">
                  <c:v>2</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Conflict'!$S$3:$S$5</c:f>
              <c:numCache>
                <c:formatCode>General</c:formatCode>
                <c:ptCount val="3"/>
                <c:pt idx="0">
                  <c:v>4</c:v>
                </c:pt>
                <c:pt idx="1">
                  <c:v>123</c:v>
                </c:pt>
                <c:pt idx="2">
                  <c:v>77</c:v>
                </c:pt>
              </c:numCache>
            </c:numRef>
          </c:val>
          <c:extLst>
            <c:ext xmlns:c16="http://schemas.microsoft.com/office/drawing/2014/chart" uri="{C3380CC4-5D6E-409C-BE32-E72D297353CC}">
              <c16:uniqueId val="{00000002-3C39-4B6A-968B-96B3B25ACE87}"/>
            </c:ext>
          </c:extLst>
        </c:ser>
        <c:ser>
          <c:idx val="3"/>
          <c:order val="3"/>
          <c:tx>
            <c:strRef>
              <c:f>'Relationship &amp; Social Conflict'!$T$1:$T$2</c:f>
              <c:strCache>
                <c:ptCount val="1"/>
                <c:pt idx="0">
                  <c:v>3</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Conflict'!$T$3:$T$5</c:f>
              <c:numCache>
                <c:formatCode>General</c:formatCode>
                <c:ptCount val="3"/>
                <c:pt idx="0">
                  <c:v>12</c:v>
                </c:pt>
                <c:pt idx="1">
                  <c:v>73</c:v>
                </c:pt>
                <c:pt idx="2">
                  <c:v>176</c:v>
                </c:pt>
              </c:numCache>
            </c:numRef>
          </c:val>
          <c:extLst>
            <c:ext xmlns:c16="http://schemas.microsoft.com/office/drawing/2014/chart" uri="{C3380CC4-5D6E-409C-BE32-E72D297353CC}">
              <c16:uniqueId val="{00000003-3C39-4B6A-968B-96B3B25ACE87}"/>
            </c:ext>
          </c:extLst>
        </c:ser>
        <c:ser>
          <c:idx val="4"/>
          <c:order val="4"/>
          <c:tx>
            <c:strRef>
              <c:f>'Relationship &amp; Social Conflict'!$U$1:$U$2</c:f>
              <c:strCache>
                <c:ptCount val="1"/>
                <c:pt idx="0">
                  <c:v>4</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Conflict'!$U$3:$U$5</c:f>
              <c:numCache>
                <c:formatCode>General</c:formatCode>
                <c:ptCount val="3"/>
                <c:pt idx="0">
                  <c:v>11</c:v>
                </c:pt>
                <c:pt idx="1">
                  <c:v>80</c:v>
                </c:pt>
                <c:pt idx="2">
                  <c:v>83</c:v>
                </c:pt>
              </c:numCache>
            </c:numRef>
          </c:val>
          <c:extLst>
            <c:ext xmlns:c16="http://schemas.microsoft.com/office/drawing/2014/chart" uri="{C3380CC4-5D6E-409C-BE32-E72D297353CC}">
              <c16:uniqueId val="{00000004-3C39-4B6A-968B-96B3B25ACE87}"/>
            </c:ext>
          </c:extLst>
        </c:ser>
        <c:ser>
          <c:idx val="5"/>
          <c:order val="5"/>
          <c:tx>
            <c:strRef>
              <c:f>'Relationship &amp; Social Conflict'!$V$1:$V$2</c:f>
              <c:strCache>
                <c:ptCount val="1"/>
                <c:pt idx="0">
                  <c:v>5</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'Relationship &amp; Social Conflict'!$P$3:$P$5</c:f>
              <c:strCache>
                <c:ptCount val="3"/>
                <c:pt idx="0">
                  <c:v>Complicated</c:v>
                </c:pt>
                <c:pt idx="1">
                  <c:v>In Relationship</c:v>
                </c:pt>
                <c:pt idx="2">
                  <c:v>Single</c:v>
                </c:pt>
              </c:strCache>
            </c:strRef>
          </c:cat>
          <c:val>
            <c:numRef>
              <c:f>'Relationship &amp; Social Conflict'!$V$3:$V$5</c:f>
              <c:numCache>
                <c:formatCode>General</c:formatCode>
                <c:ptCount val="3"/>
                <c:pt idx="0">
                  <c:v>1</c:v>
                </c:pt>
                <c:pt idx="2">
                  <c:v>14</c:v>
                </c:pt>
              </c:numCache>
            </c:numRef>
          </c:val>
          <c:extLst>
            <c:ext xmlns:c16="http://schemas.microsoft.com/office/drawing/2014/chart" uri="{C3380CC4-5D6E-409C-BE32-E72D297353CC}">
              <c16:uniqueId val="{00000005-3C39-4B6A-968B-96B3B25ACE87}"/>
            </c:ext>
          </c:extLst>
        </c:ser>
        <c:dLbls>
          <c:showLegendKey val="0"/>
          <c:showVal val="0"/>
          <c:showCatName val="0"/>
          <c:showSerName val="0"/>
          <c:showPercent val="0"/>
          <c:showBubbleSize val="0"/>
        </c:dLbls>
        <c:gapWidth val="65"/>
        <c:shape val="box"/>
        <c:axId val="381555408"/>
        <c:axId val="381562128"/>
        <c:axId val="0"/>
      </c:bar3DChart>
      <c:catAx>
        <c:axId val="3815554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1562128"/>
        <c:crosses val="autoZero"/>
        <c:auto val="1"/>
        <c:lblAlgn val="ctr"/>
        <c:lblOffset val="100"/>
        <c:noMultiLvlLbl val="0"/>
      </c:catAx>
      <c:valAx>
        <c:axId val="381562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1555408"/>
        <c:crosses val="autoZero"/>
        <c:crossBetween val="between"/>
      </c:valAx>
      <c:spPr>
        <a:noFill/>
        <a:ln>
          <a:noFill/>
        </a:ln>
        <a:effectLst/>
      </c:spPr>
    </c:plotArea>
    <c:legend>
      <c:legendPos val="r"/>
      <c:layout>
        <c:manualLayout>
          <c:xMode val="edge"/>
          <c:yMode val="edge"/>
          <c:x val="0.33033040843924438"/>
          <c:y val="0.87072601094354729"/>
          <c:w val="0.61861852843832699"/>
          <c:h val="0.108426722083468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57149</xdr:rowOff>
    </xdr:from>
    <xdr:to>
      <xdr:col>7</xdr:col>
      <xdr:colOff>4763</xdr:colOff>
      <xdr:row>21</xdr:row>
      <xdr:rowOff>38100</xdr:rowOff>
    </xdr:to>
    <xdr:graphicFrame macro="">
      <xdr:nvGraphicFramePr>
        <xdr:cNvPr id="2" name="Question1">
          <a:extLst>
            <a:ext uri="{FF2B5EF4-FFF2-40B4-BE49-F238E27FC236}">
              <a16:creationId xmlns:a16="http://schemas.microsoft.com/office/drawing/2014/main" id="{1438B31B-B749-3C8F-A6A5-E08E815CB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133350</xdr:colOff>
      <xdr:row>9</xdr:row>
      <xdr:rowOff>128586</xdr:rowOff>
    </xdr:from>
    <xdr:to>
      <xdr:col>13</xdr:col>
      <xdr:colOff>57149</xdr:colOff>
      <xdr:row>20</xdr:row>
      <xdr:rowOff>0</xdr:rowOff>
    </xdr:to>
    <xdr:graphicFrame macro="">
      <xdr:nvGraphicFramePr>
        <xdr:cNvPr id="3" name="Chart 2">
          <a:extLst>
            <a:ext uri="{FF2B5EF4-FFF2-40B4-BE49-F238E27FC236}">
              <a16:creationId xmlns:a16="http://schemas.microsoft.com/office/drawing/2014/main" id="{FB53C1AA-2A04-D1C2-2B45-E6276D5C6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190500</xdr:colOff>
      <xdr:row>0</xdr:row>
      <xdr:rowOff>147638</xdr:rowOff>
    </xdr:from>
    <xdr:to>
      <xdr:col>9</xdr:col>
      <xdr:colOff>361949</xdr:colOff>
      <xdr:row>8</xdr:row>
      <xdr:rowOff>114301</xdr:rowOff>
    </xdr:to>
    <mc:AlternateContent xmlns:mc="http://schemas.openxmlformats.org/markup-compatibility/2006" xmlns:a14="http://schemas.microsoft.com/office/drawing/2010/main">
      <mc:Choice Requires="a14">
        <xdr:graphicFrame macro="">
          <xdr:nvGraphicFramePr>
            <xdr:cNvPr id="4" name="Academic_Level">
              <a:extLst>
                <a:ext uri="{FF2B5EF4-FFF2-40B4-BE49-F238E27FC236}">
                  <a16:creationId xmlns:a16="http://schemas.microsoft.com/office/drawing/2014/main" id="{43031B1D-3A95-B20A-2946-4917CED4C5D9}"/>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3271838" y="147638"/>
              <a:ext cx="1290637" cy="1414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742949</xdr:colOff>
      <xdr:row>9</xdr:row>
      <xdr:rowOff>19048</xdr:rowOff>
    </xdr:from>
    <xdr:to>
      <xdr:col>16</xdr:col>
      <xdr:colOff>452437</xdr:colOff>
      <xdr:row>19</xdr:row>
      <xdr:rowOff>76199</xdr:rowOff>
    </xdr:to>
    <xdr:graphicFrame macro="">
      <xdr:nvGraphicFramePr>
        <xdr:cNvPr id="5" name="Chart 4">
          <a:extLst>
            <a:ext uri="{FF2B5EF4-FFF2-40B4-BE49-F238E27FC236}">
              <a16:creationId xmlns:a16="http://schemas.microsoft.com/office/drawing/2014/main" id="{63C843FC-98C2-1AF8-7302-C6865383F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640556</xdr:colOff>
      <xdr:row>15</xdr:row>
      <xdr:rowOff>4763</xdr:rowOff>
    </xdr:from>
    <xdr:to>
      <xdr:col>22</xdr:col>
      <xdr:colOff>435768</xdr:colOff>
      <xdr:row>30</xdr:row>
      <xdr:rowOff>33338</xdr:rowOff>
    </xdr:to>
    <xdr:graphicFrame macro="">
      <xdr:nvGraphicFramePr>
        <xdr:cNvPr id="6" name="Table 5">
          <a:extLst>
            <a:ext uri="{FF2B5EF4-FFF2-40B4-BE49-F238E27FC236}">
              <a16:creationId xmlns:a16="http://schemas.microsoft.com/office/drawing/2014/main" id="{E439A5BE-FD52-A248-AA3E-49EFA9438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366712</xdr:colOff>
      <xdr:row>26</xdr:row>
      <xdr:rowOff>4762</xdr:rowOff>
    </xdr:to>
    <xdr:graphicFrame macro="">
      <xdr:nvGraphicFramePr>
        <xdr:cNvPr id="3" name="Question 1">
          <a:extLst>
            <a:ext uri="{FF2B5EF4-FFF2-40B4-BE49-F238E27FC236}">
              <a16:creationId xmlns:a16="http://schemas.microsoft.com/office/drawing/2014/main" id="{4212EC7C-F639-4B5B-A53E-B65CEA0AC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380999</xdr:colOff>
      <xdr:row>1</xdr:row>
      <xdr:rowOff>9525</xdr:rowOff>
    </xdr:from>
    <xdr:to>
      <xdr:col>11</xdr:col>
      <xdr:colOff>557213</xdr:colOff>
      <xdr:row>13</xdr:row>
      <xdr:rowOff>100013</xdr:rowOff>
    </xdr:to>
    <xdr:graphicFrame macro="">
      <xdr:nvGraphicFramePr>
        <xdr:cNvPr id="4" name="Chart 3">
          <a:extLst>
            <a:ext uri="{FF2B5EF4-FFF2-40B4-BE49-F238E27FC236}">
              <a16:creationId xmlns:a16="http://schemas.microsoft.com/office/drawing/2014/main" id="{404109D3-6C45-4A6E-9502-A77E61168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380998</xdr:colOff>
      <xdr:row>13</xdr:row>
      <xdr:rowOff>114299</xdr:rowOff>
    </xdr:from>
    <xdr:to>
      <xdr:col>11</xdr:col>
      <xdr:colOff>571499</xdr:colOff>
      <xdr:row>26</xdr:row>
      <xdr:rowOff>0</xdr:rowOff>
    </xdr:to>
    <xdr:graphicFrame macro="">
      <xdr:nvGraphicFramePr>
        <xdr:cNvPr id="5" name="Chart 4">
          <a:extLst>
            <a:ext uri="{FF2B5EF4-FFF2-40B4-BE49-F238E27FC236}">
              <a16:creationId xmlns:a16="http://schemas.microsoft.com/office/drawing/2014/main" id="{03E04B90-8137-410D-B919-CC79FB955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595314</xdr:colOff>
      <xdr:row>1</xdr:row>
      <xdr:rowOff>0</xdr:rowOff>
    </xdr:from>
    <xdr:to>
      <xdr:col>18</xdr:col>
      <xdr:colOff>628650</xdr:colOff>
      <xdr:row>25</xdr:row>
      <xdr:rowOff>171452</xdr:rowOff>
    </xdr:to>
    <xdr:graphicFrame macro="">
      <xdr:nvGraphicFramePr>
        <xdr:cNvPr id="6" name="Table 5">
          <a:extLst>
            <a:ext uri="{FF2B5EF4-FFF2-40B4-BE49-F238E27FC236}">
              <a16:creationId xmlns:a16="http://schemas.microsoft.com/office/drawing/2014/main" id="{E1C319D6-4C49-4750-BDC9-D1A12797C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105922</xdr:rowOff>
    </xdr:from>
    <xdr:to>
      <xdr:col>4</xdr:col>
      <xdr:colOff>165252</xdr:colOff>
      <xdr:row>29</xdr:row>
      <xdr:rowOff>94905</xdr:rowOff>
    </xdr:to>
    <xdr:graphicFrame macro="">
      <xdr:nvGraphicFramePr>
        <xdr:cNvPr id="6" name="Chart 5">
          <a:extLst>
            <a:ext uri="{FF2B5EF4-FFF2-40B4-BE49-F238E27FC236}">
              <a16:creationId xmlns:a16="http://schemas.microsoft.com/office/drawing/2014/main" id="{91A1AAC7-2C9C-6C2A-BA08-B3D859DE5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339917</xdr:colOff>
      <xdr:row>0</xdr:row>
      <xdr:rowOff>0</xdr:rowOff>
    </xdr:from>
    <xdr:to>
      <xdr:col>4</xdr:col>
      <xdr:colOff>510448</xdr:colOff>
      <xdr:row>13</xdr:row>
      <xdr:rowOff>137137</xdr:rowOff>
    </xdr:to>
    <mc:AlternateContent xmlns:mc="http://schemas.openxmlformats.org/markup-compatibility/2006" xmlns:a14="http://schemas.microsoft.com/office/drawing/2010/main">
      <mc:Choice Requires="a14">
        <xdr:graphicFrame macro="">
          <xdr:nvGraphicFramePr>
            <xdr:cNvPr id="7" name="Most_Used_Platform">
              <a:extLst>
                <a:ext uri="{FF2B5EF4-FFF2-40B4-BE49-F238E27FC236}">
                  <a16:creationId xmlns:a16="http://schemas.microsoft.com/office/drawing/2014/main" id="{B1A840A1-0A02-3B01-11BD-16C414C160D5}"/>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247443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250174</xdr:colOff>
      <xdr:row>16</xdr:row>
      <xdr:rowOff>180515</xdr:rowOff>
    </xdr:from>
    <xdr:to>
      <xdr:col>13</xdr:col>
      <xdr:colOff>512972</xdr:colOff>
      <xdr:row>31</xdr:row>
      <xdr:rowOff>169498</xdr:rowOff>
    </xdr:to>
    <xdr:graphicFrame macro="">
      <xdr:nvGraphicFramePr>
        <xdr:cNvPr id="2" name="Chart 1">
          <a:extLst>
            <a:ext uri="{FF2B5EF4-FFF2-40B4-BE49-F238E27FC236}">
              <a16:creationId xmlns:a16="http://schemas.microsoft.com/office/drawing/2014/main" id="{0FE1011B-5ECF-4A7D-1EA7-4E1A8FD4B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57379</xdr:colOff>
      <xdr:row>10</xdr:row>
      <xdr:rowOff>169038</xdr:rowOff>
    </xdr:from>
    <xdr:to>
      <xdr:col>6</xdr:col>
      <xdr:colOff>2128780</xdr:colOff>
      <xdr:row>27</xdr:row>
      <xdr:rowOff>154925</xdr:rowOff>
    </xdr:to>
    <xdr:graphicFrame macro="">
      <xdr:nvGraphicFramePr>
        <xdr:cNvPr id="3" name="Chart 2">
          <a:extLst>
            <a:ext uri="{FF2B5EF4-FFF2-40B4-BE49-F238E27FC236}">
              <a16:creationId xmlns:a16="http://schemas.microsoft.com/office/drawing/2014/main" id="{23B98F38-78EC-B718-1C1F-2ADD3A425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71839</xdr:colOff>
      <xdr:row>16</xdr:row>
      <xdr:rowOff>28575</xdr:rowOff>
    </xdr:to>
    <xdr:graphicFrame macro="">
      <xdr:nvGraphicFramePr>
        <xdr:cNvPr id="2" name="Chart 1">
          <a:extLst>
            <a:ext uri="{FF2B5EF4-FFF2-40B4-BE49-F238E27FC236}">
              <a16:creationId xmlns:a16="http://schemas.microsoft.com/office/drawing/2014/main" id="{39E92C3A-710A-4B75-B867-B08CACA6B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207400</xdr:colOff>
      <xdr:row>1</xdr:row>
      <xdr:rowOff>15704</xdr:rowOff>
    </xdr:from>
    <xdr:to>
      <xdr:col>18</xdr:col>
      <xdr:colOff>614516</xdr:colOff>
      <xdr:row>29</xdr:row>
      <xdr:rowOff>138264</xdr:rowOff>
    </xdr:to>
    <xdr:graphicFrame macro="">
      <xdr:nvGraphicFramePr>
        <xdr:cNvPr id="9" name="Chart 8">
          <a:extLst>
            <a:ext uri="{FF2B5EF4-FFF2-40B4-BE49-F238E27FC236}">
              <a16:creationId xmlns:a16="http://schemas.microsoft.com/office/drawing/2014/main" id="{C7AF6163-CAF0-47F3-8347-570CAD1DA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564584</xdr:colOff>
      <xdr:row>22</xdr:row>
      <xdr:rowOff>129049</xdr:rowOff>
    </xdr:from>
    <xdr:to>
      <xdr:col>10</xdr:col>
      <xdr:colOff>491612</xdr:colOff>
      <xdr:row>29</xdr:row>
      <xdr:rowOff>99859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89559FDA-75CB-0C79-5462-5D9B796441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36036" y="4392255"/>
              <a:ext cx="2507995" cy="1261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23044</xdr:rowOff>
    </xdr:from>
    <xdr:to>
      <xdr:col>6</xdr:col>
      <xdr:colOff>69133</xdr:colOff>
      <xdr:row>29</xdr:row>
      <xdr:rowOff>161310</xdr:rowOff>
    </xdr:to>
    <xdr:graphicFrame macro="">
      <xdr:nvGraphicFramePr>
        <xdr:cNvPr id="11" name="Chart 10">
          <a:extLst>
            <a:ext uri="{FF2B5EF4-FFF2-40B4-BE49-F238E27FC236}">
              <a16:creationId xmlns:a16="http://schemas.microsoft.com/office/drawing/2014/main" id="{956FA248-A7C4-4D0F-AD3A-17C22114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556903</xdr:colOff>
      <xdr:row>12</xdr:row>
      <xdr:rowOff>13826</xdr:rowOff>
    </xdr:from>
    <xdr:to>
      <xdr:col>10</xdr:col>
      <xdr:colOff>399436</xdr:colOff>
      <xdr:row>19</xdr:row>
      <xdr:rowOff>122902</xdr:rowOff>
    </xdr:to>
    <mc:AlternateContent xmlns:mc="http://schemas.openxmlformats.org/markup-compatibility/2006" xmlns:a14="http://schemas.microsoft.com/office/drawing/2010/main">
      <mc:Choice Requires="a14">
        <xdr:graphicFrame macro="">
          <xdr:nvGraphicFramePr>
            <xdr:cNvPr id="12" name="Academic_Level 1">
              <a:extLst>
                <a:ext uri="{FF2B5EF4-FFF2-40B4-BE49-F238E27FC236}">
                  <a16:creationId xmlns:a16="http://schemas.microsoft.com/office/drawing/2014/main" id="{FE3678EA-AF1E-1996-C16B-FA8FBF4DEC54}"/>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4428355" y="2433484"/>
              <a:ext cx="2423500" cy="1399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510814</xdr:colOff>
      <xdr:row>1</xdr:row>
      <xdr:rowOff>36872</xdr:rowOff>
    </xdr:from>
    <xdr:to>
      <xdr:col>10</xdr:col>
      <xdr:colOff>407116</xdr:colOff>
      <xdr:row>9</xdr:row>
      <xdr:rowOff>69133</xdr:rowOff>
    </xdr:to>
    <mc:AlternateContent xmlns:mc="http://schemas.openxmlformats.org/markup-compatibility/2006" xmlns:a14="http://schemas.microsoft.com/office/drawing/2010/main">
      <mc:Choice Requires="a14">
        <xdr:graphicFrame macro="">
          <xdr:nvGraphicFramePr>
            <xdr:cNvPr id="13" name="Relationship_Status">
              <a:extLst>
                <a:ext uri="{FF2B5EF4-FFF2-40B4-BE49-F238E27FC236}">
                  <a16:creationId xmlns:a16="http://schemas.microsoft.com/office/drawing/2014/main" id="{552A8722-DA7F-8BFE-56DB-19F10167E17E}"/>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mlns="">
        <xdr:sp macro="" textlink="">
          <xdr:nvSpPr>
            <xdr:cNvPr id="0" name=""/>
            <xdr:cNvSpPr>
              <a:spLocks noTextEdit="1"/>
            </xdr:cNvSpPr>
          </xdr:nvSpPr>
          <xdr:spPr>
            <a:xfrm>
              <a:off x="4382266" y="428627"/>
              <a:ext cx="2477269" cy="150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96537</xdr:rowOff>
    </xdr:from>
    <xdr:to>
      <xdr:col>3</xdr:col>
      <xdr:colOff>212382</xdr:colOff>
      <xdr:row>31</xdr:row>
      <xdr:rowOff>160895</xdr:rowOff>
    </xdr:to>
    <xdr:graphicFrame macro="">
      <xdr:nvGraphicFramePr>
        <xdr:cNvPr id="3" name="Chart 2">
          <a:extLst>
            <a:ext uri="{FF2B5EF4-FFF2-40B4-BE49-F238E27FC236}">
              <a16:creationId xmlns:a16="http://schemas.microsoft.com/office/drawing/2014/main" id="{B81A9685-A553-1CE8-51C4-04F064A0A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958935</xdr:colOff>
      <xdr:row>8</xdr:row>
      <xdr:rowOff>8881</xdr:rowOff>
    </xdr:from>
    <xdr:to>
      <xdr:col>8</xdr:col>
      <xdr:colOff>744621</xdr:colOff>
      <xdr:row>27</xdr:row>
      <xdr:rowOff>83666</xdr:rowOff>
    </xdr:to>
    <xdr:graphicFrame macro="">
      <xdr:nvGraphicFramePr>
        <xdr:cNvPr id="6" name="Chart 5">
          <a:extLst>
            <a:ext uri="{FF2B5EF4-FFF2-40B4-BE49-F238E27FC236}">
              <a16:creationId xmlns:a16="http://schemas.microsoft.com/office/drawing/2014/main" id="{2E9B251E-E71C-5828-6666-D0F6A3FA3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639075</xdr:colOff>
      <xdr:row>8</xdr:row>
      <xdr:rowOff>169776</xdr:rowOff>
    </xdr:from>
    <xdr:to>
      <xdr:col>14</xdr:col>
      <xdr:colOff>431199</xdr:colOff>
      <xdr:row>26</xdr:row>
      <xdr:rowOff>38613</xdr:rowOff>
    </xdr:to>
    <xdr:graphicFrame macro="">
      <xdr:nvGraphicFramePr>
        <xdr:cNvPr id="7" name="Chart 6">
          <a:extLst>
            <a:ext uri="{FF2B5EF4-FFF2-40B4-BE49-F238E27FC236}">
              <a16:creationId xmlns:a16="http://schemas.microsoft.com/office/drawing/2014/main" id="{B8ABC268-3B49-7CC0-114B-7FC50D8CB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12091</xdr:colOff>
      <xdr:row>1</xdr:row>
      <xdr:rowOff>19415</xdr:rowOff>
    </xdr:from>
    <xdr:to>
      <xdr:col>6</xdr:col>
      <xdr:colOff>569303</xdr:colOff>
      <xdr:row>29</xdr:row>
      <xdr:rowOff>176578</xdr:rowOff>
    </xdr:to>
    <xdr:graphicFrame macro="">
      <xdr:nvGraphicFramePr>
        <xdr:cNvPr id="2" name="Chart 1">
          <a:extLst>
            <a:ext uri="{FF2B5EF4-FFF2-40B4-BE49-F238E27FC236}">
              <a16:creationId xmlns:a16="http://schemas.microsoft.com/office/drawing/2014/main" id="{EE7D2103-5C6C-4194-9428-8A3039A30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30040</xdr:colOff>
      <xdr:row>1</xdr:row>
      <xdr:rowOff>18317</xdr:rowOff>
    </xdr:from>
    <xdr:to>
      <xdr:col>20</xdr:col>
      <xdr:colOff>598610</xdr:colOff>
      <xdr:row>29</xdr:row>
      <xdr:rowOff>117231</xdr:rowOff>
    </xdr:to>
    <xdr:graphicFrame macro="">
      <xdr:nvGraphicFramePr>
        <xdr:cNvPr id="3" name="Chart 2">
          <a:extLst>
            <a:ext uri="{FF2B5EF4-FFF2-40B4-BE49-F238E27FC236}">
              <a16:creationId xmlns:a16="http://schemas.microsoft.com/office/drawing/2014/main" id="{D9E20CE7-2A5D-4398-AC7F-504E24436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616926</xdr:colOff>
      <xdr:row>14</xdr:row>
      <xdr:rowOff>73268</xdr:rowOff>
    </xdr:from>
    <xdr:to>
      <xdr:col>13</xdr:col>
      <xdr:colOff>630115</xdr:colOff>
      <xdr:row>29</xdr:row>
      <xdr:rowOff>117231</xdr:rowOff>
    </xdr:to>
    <xdr:graphicFrame macro="">
      <xdr:nvGraphicFramePr>
        <xdr:cNvPr id="4" name="Chart 3">
          <a:extLst>
            <a:ext uri="{FF2B5EF4-FFF2-40B4-BE49-F238E27FC236}">
              <a16:creationId xmlns:a16="http://schemas.microsoft.com/office/drawing/2014/main" id="{B1E4F7C1-8529-43FF-9D75-CB4DB1088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606302</xdr:colOff>
      <xdr:row>1</xdr:row>
      <xdr:rowOff>14654</xdr:rowOff>
    </xdr:from>
    <xdr:to>
      <xdr:col>9</xdr:col>
      <xdr:colOff>483577</xdr:colOff>
      <xdr:row>14</xdr:row>
      <xdr:rowOff>21982</xdr:rowOff>
    </xdr:to>
    <mc:AlternateContent xmlns:mc="http://schemas.openxmlformats.org/markup-compatibility/2006" xmlns:a14="http://schemas.microsoft.com/office/drawing/2010/main">
      <mc:Choice Requires="a14">
        <xdr:graphicFrame macro="">
          <xdr:nvGraphicFramePr>
            <xdr:cNvPr id="5" name="Most_Used_Platform 1">
              <a:extLst>
                <a:ext uri="{FF2B5EF4-FFF2-40B4-BE49-F238E27FC236}">
                  <a16:creationId xmlns:a16="http://schemas.microsoft.com/office/drawing/2014/main" id="{536ABEB8-5A75-1447-F036-3B7FC89937D7}"/>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4474917" y="402982"/>
              <a:ext cx="1811583" cy="2403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545488</xdr:colOff>
      <xdr:row>1</xdr:row>
      <xdr:rowOff>7329</xdr:rowOff>
    </xdr:from>
    <xdr:to>
      <xdr:col>13</xdr:col>
      <xdr:colOff>556846</xdr:colOff>
      <xdr:row>7</xdr:row>
      <xdr:rowOff>102578</xdr:rowOff>
    </xdr:to>
    <mc:AlternateContent xmlns:mc="http://schemas.openxmlformats.org/markup-compatibility/2006" xmlns:a14="http://schemas.microsoft.com/office/drawing/2010/main">
      <mc:Choice Requires="a14">
        <xdr:graphicFrame macro="">
          <xdr:nvGraphicFramePr>
            <xdr:cNvPr id="6" name="Academic_Level 2">
              <a:extLst>
                <a:ext uri="{FF2B5EF4-FFF2-40B4-BE49-F238E27FC236}">
                  <a16:creationId xmlns:a16="http://schemas.microsoft.com/office/drawing/2014/main" id="{388C4491-8270-5074-07F3-1D1CFA7FDE7B}"/>
                </a:ext>
              </a:extLst>
            </xdr:cNvPr>
            <xdr:cNvGraphicFramePr/>
          </xdr:nvGraphicFramePr>
          <xdr:xfrm>
            <a:off x="0" y="0"/>
            <a:ext cx="0" cy="0"/>
          </xdr:xfrm>
          <a:graphic>
            <a:graphicData uri="http://schemas.microsoft.com/office/drawing/2010/slicer">
              <sle:slicer xmlns:sle="http://schemas.microsoft.com/office/drawing/2010/slicer" name="Academic_Level 2"/>
            </a:graphicData>
          </a:graphic>
        </xdr:graphicFrame>
      </mc:Choice>
      <mc:Fallback xmlns="">
        <xdr:sp macro="" textlink="">
          <xdr:nvSpPr>
            <xdr:cNvPr id="0" name=""/>
            <xdr:cNvSpPr>
              <a:spLocks noTextEdit="1"/>
            </xdr:cNvSpPr>
          </xdr:nvSpPr>
          <xdr:spPr>
            <a:xfrm>
              <a:off x="6348411" y="395657"/>
              <a:ext cx="2590435" cy="1194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538161</xdr:colOff>
      <xdr:row>7</xdr:row>
      <xdr:rowOff>139212</xdr:rowOff>
    </xdr:from>
    <xdr:to>
      <xdr:col>13</xdr:col>
      <xdr:colOff>542192</xdr:colOff>
      <xdr:row>14</xdr:row>
      <xdr:rowOff>21980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D0637E8C-C031-05D6-9F1A-3FDBB0519B6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41084" y="1626578"/>
              <a:ext cx="2583108" cy="1179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104775</xdr:rowOff>
    </xdr:from>
    <xdr:to>
      <xdr:col>2</xdr:col>
      <xdr:colOff>19050</xdr:colOff>
      <xdr:row>17</xdr:row>
      <xdr:rowOff>14288</xdr:rowOff>
    </xdr:to>
    <xdr:graphicFrame macro="">
      <xdr:nvGraphicFramePr>
        <xdr:cNvPr id="2" name="Chart 1">
          <a:extLst>
            <a:ext uri="{FF2B5EF4-FFF2-40B4-BE49-F238E27FC236}">
              <a16:creationId xmlns:a16="http://schemas.microsoft.com/office/drawing/2014/main" id="{3C8BAEC5-9A91-FB5A-C124-0D1441AC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xdr:colOff>
      <xdr:row>8</xdr:row>
      <xdr:rowOff>128588</xdr:rowOff>
    </xdr:from>
    <xdr:to>
      <xdr:col>10</xdr:col>
      <xdr:colOff>61912</xdr:colOff>
      <xdr:row>23</xdr:row>
      <xdr:rowOff>157163</xdr:rowOff>
    </xdr:to>
    <xdr:graphicFrame macro="">
      <xdr:nvGraphicFramePr>
        <xdr:cNvPr id="3" name="Chart 2">
          <a:extLst>
            <a:ext uri="{FF2B5EF4-FFF2-40B4-BE49-F238E27FC236}">
              <a16:creationId xmlns:a16="http://schemas.microsoft.com/office/drawing/2014/main" id="{FDC2ED4A-B4CA-7B21-FD19-58D561CFC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704851</xdr:colOff>
      <xdr:row>8</xdr:row>
      <xdr:rowOff>0</xdr:rowOff>
    </xdr:from>
    <xdr:to>
      <xdr:col>15</xdr:col>
      <xdr:colOff>9526</xdr:colOff>
      <xdr:row>20</xdr:row>
      <xdr:rowOff>4764</xdr:rowOff>
    </xdr:to>
    <xdr:graphicFrame macro="">
      <xdr:nvGraphicFramePr>
        <xdr:cNvPr id="4" name="Chart 3">
          <a:extLst>
            <a:ext uri="{FF2B5EF4-FFF2-40B4-BE49-F238E27FC236}">
              <a16:creationId xmlns:a16="http://schemas.microsoft.com/office/drawing/2014/main" id="{7E72CE8C-B45C-0A02-49E9-48B24DEF8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28574</xdr:colOff>
      <xdr:row>8</xdr:row>
      <xdr:rowOff>152399</xdr:rowOff>
    </xdr:from>
    <xdr:to>
      <xdr:col>21</xdr:col>
      <xdr:colOff>4762</xdr:colOff>
      <xdr:row>19</xdr:row>
      <xdr:rowOff>152399</xdr:rowOff>
    </xdr:to>
    <xdr:graphicFrame macro="">
      <xdr:nvGraphicFramePr>
        <xdr:cNvPr id="5" name="Chart 4">
          <a:extLst>
            <a:ext uri="{FF2B5EF4-FFF2-40B4-BE49-F238E27FC236}">
              <a16:creationId xmlns:a16="http://schemas.microsoft.com/office/drawing/2014/main" id="{3222FE5F-EE45-1647-55E3-73B766434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23812</xdr:colOff>
      <xdr:row>1</xdr:row>
      <xdr:rowOff>47624</xdr:rowOff>
    </xdr:from>
    <xdr:to>
      <xdr:col>7</xdr:col>
      <xdr:colOff>242887</xdr:colOff>
      <xdr:row>15</xdr:row>
      <xdr:rowOff>33337</xdr:rowOff>
    </xdr:to>
    <xdr:graphicFrame macro="">
      <xdr:nvGraphicFramePr>
        <xdr:cNvPr id="2" name="Chart 1">
          <a:extLst>
            <a:ext uri="{FF2B5EF4-FFF2-40B4-BE49-F238E27FC236}">
              <a16:creationId xmlns:a16="http://schemas.microsoft.com/office/drawing/2014/main" id="{78DDBF66-5D18-4611-A871-E44F008B0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15</xdr:row>
      <xdr:rowOff>52386</xdr:rowOff>
    </xdr:from>
    <xdr:to>
      <xdr:col>7</xdr:col>
      <xdr:colOff>252413</xdr:colOff>
      <xdr:row>30</xdr:row>
      <xdr:rowOff>128586</xdr:rowOff>
    </xdr:to>
    <xdr:graphicFrame macro="">
      <xdr:nvGraphicFramePr>
        <xdr:cNvPr id="3" name="Chart 2">
          <a:extLst>
            <a:ext uri="{FF2B5EF4-FFF2-40B4-BE49-F238E27FC236}">
              <a16:creationId xmlns:a16="http://schemas.microsoft.com/office/drawing/2014/main" id="{1F3D0B94-DA63-4611-9379-A7C2E92CD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4763</xdr:colOff>
      <xdr:row>1</xdr:row>
      <xdr:rowOff>4761</xdr:rowOff>
    </xdr:from>
    <xdr:to>
      <xdr:col>19</xdr:col>
      <xdr:colOff>0</xdr:colOff>
      <xdr:row>14</xdr:row>
      <xdr:rowOff>161923</xdr:rowOff>
    </xdr:to>
    <xdr:graphicFrame macro="">
      <xdr:nvGraphicFramePr>
        <xdr:cNvPr id="4" name="Chart 3">
          <a:extLst>
            <a:ext uri="{FF2B5EF4-FFF2-40B4-BE49-F238E27FC236}">
              <a16:creationId xmlns:a16="http://schemas.microsoft.com/office/drawing/2014/main" id="{A4A5468F-DCCD-4FE2-B9BA-36DBCBBBC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xdr:colOff>
      <xdr:row>15</xdr:row>
      <xdr:rowOff>0</xdr:rowOff>
    </xdr:from>
    <xdr:to>
      <xdr:col>18</xdr:col>
      <xdr:colOff>642938</xdr:colOff>
      <xdr:row>30</xdr:row>
      <xdr:rowOff>114300</xdr:rowOff>
    </xdr:to>
    <xdr:graphicFrame macro="">
      <xdr:nvGraphicFramePr>
        <xdr:cNvPr id="5" name="Chart 4">
          <a:extLst>
            <a:ext uri="{FF2B5EF4-FFF2-40B4-BE49-F238E27FC236}">
              <a16:creationId xmlns:a16="http://schemas.microsoft.com/office/drawing/2014/main" id="{6AE75E25-BA05-4FEE-B04F-11FCDB758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314324</xdr:colOff>
      <xdr:row>25</xdr:row>
      <xdr:rowOff>57149</xdr:rowOff>
    </xdr:from>
    <xdr:to>
      <xdr:col>11</xdr:col>
      <xdr:colOff>595313</xdr:colOff>
      <xdr:row>30</xdr:row>
      <xdr:rowOff>128588</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8E0A1BAB-3B70-D19F-20F3-F1CB3E56192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48224" y="4795837"/>
              <a:ext cx="2871789" cy="97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319087</xdr:colOff>
      <xdr:row>17</xdr:row>
      <xdr:rowOff>4760</xdr:rowOff>
    </xdr:from>
    <xdr:to>
      <xdr:col>11</xdr:col>
      <xdr:colOff>585786</xdr:colOff>
      <xdr:row>24</xdr:row>
      <xdr:rowOff>95249</xdr:rowOff>
    </xdr:to>
    <mc:AlternateContent xmlns:mc="http://schemas.openxmlformats.org/markup-compatibility/2006" xmlns:a14="http://schemas.microsoft.com/office/drawing/2010/main">
      <mc:Choice Requires="a14">
        <xdr:graphicFrame macro="">
          <xdr:nvGraphicFramePr>
            <xdr:cNvPr id="7" name="Academic_Level 3">
              <a:extLst>
                <a:ext uri="{FF2B5EF4-FFF2-40B4-BE49-F238E27FC236}">
                  <a16:creationId xmlns:a16="http://schemas.microsoft.com/office/drawing/2014/main" id="{C9A99F39-F591-B454-3837-5A285BD44C82}"/>
                </a:ext>
              </a:extLst>
            </xdr:cNvPr>
            <xdr:cNvGraphicFramePr/>
          </xdr:nvGraphicFramePr>
          <xdr:xfrm>
            <a:off x="0" y="0"/>
            <a:ext cx="0" cy="0"/>
          </xdr:xfrm>
          <a:graphic>
            <a:graphicData uri="http://schemas.microsoft.com/office/drawing/2010/slicer">
              <sle:slicer xmlns:sle="http://schemas.microsoft.com/office/drawing/2010/slicer" name="Academic_Level 3"/>
            </a:graphicData>
          </a:graphic>
        </xdr:graphicFrame>
      </mc:Choice>
      <mc:Fallback xmlns="">
        <xdr:sp macro="" textlink="">
          <xdr:nvSpPr>
            <xdr:cNvPr id="0" name=""/>
            <xdr:cNvSpPr>
              <a:spLocks noTextEdit="1"/>
            </xdr:cNvSpPr>
          </xdr:nvSpPr>
          <xdr:spPr>
            <a:xfrm>
              <a:off x="4852987" y="3295648"/>
              <a:ext cx="2857499" cy="1357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314323</xdr:colOff>
      <xdr:row>1</xdr:row>
      <xdr:rowOff>38099</xdr:rowOff>
    </xdr:from>
    <xdr:to>
      <xdr:col>11</xdr:col>
      <xdr:colOff>604836</xdr:colOff>
      <xdr:row>16</xdr:row>
      <xdr:rowOff>138112</xdr:rowOff>
    </xdr:to>
    <mc:AlternateContent xmlns:mc="http://schemas.openxmlformats.org/markup-compatibility/2006" xmlns:a14="http://schemas.microsoft.com/office/drawing/2010/main">
      <mc:Choice Requires="a14">
        <xdr:graphicFrame macro="">
          <xdr:nvGraphicFramePr>
            <xdr:cNvPr id="8" name="Most_Used_Platform 2">
              <a:extLst>
                <a:ext uri="{FF2B5EF4-FFF2-40B4-BE49-F238E27FC236}">
                  <a16:creationId xmlns:a16="http://schemas.microsoft.com/office/drawing/2014/main" id="{3E0E58BE-0C23-B5A4-C619-6118E966BFF5}"/>
                </a:ext>
              </a:extLst>
            </xdr:cNvPr>
            <xdr:cNvGraphicFramePr/>
          </xdr:nvGraphicFramePr>
          <xdr:xfrm>
            <a:off x="0" y="0"/>
            <a:ext cx="0" cy="0"/>
          </xdr:xfrm>
          <a:graphic>
            <a:graphicData uri="http://schemas.microsoft.com/office/drawing/2010/slicer">
              <sle:slicer xmlns:sle="http://schemas.microsoft.com/office/drawing/2010/slicer" name="Most_Used_Platform 2"/>
            </a:graphicData>
          </a:graphic>
        </xdr:graphicFrame>
      </mc:Choice>
      <mc:Fallback xmlns="">
        <xdr:sp macro="" textlink="">
          <xdr:nvSpPr>
            <xdr:cNvPr id="0" name=""/>
            <xdr:cNvSpPr>
              <a:spLocks noTextEdit="1"/>
            </xdr:cNvSpPr>
          </xdr:nvSpPr>
          <xdr:spPr>
            <a:xfrm>
              <a:off x="4848223" y="433387"/>
              <a:ext cx="2881313" cy="2814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76200</xdr:rowOff>
    </xdr:from>
    <xdr:to>
      <xdr:col>4</xdr:col>
      <xdr:colOff>214312</xdr:colOff>
      <xdr:row>24</xdr:row>
      <xdr:rowOff>71438</xdr:rowOff>
    </xdr:to>
    <xdr:graphicFrame macro="">
      <xdr:nvGraphicFramePr>
        <xdr:cNvPr id="3" name="Chart 2">
          <a:extLst>
            <a:ext uri="{FF2B5EF4-FFF2-40B4-BE49-F238E27FC236}">
              <a16:creationId xmlns:a16="http://schemas.microsoft.com/office/drawing/2014/main" id="{9216E0EE-3235-89D7-B86A-DF7C8A2A1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676282</xdr:colOff>
      <xdr:row>13</xdr:row>
      <xdr:rowOff>33337</xdr:rowOff>
    </xdr:from>
    <xdr:to>
      <xdr:col>9</xdr:col>
      <xdr:colOff>723899</xdr:colOff>
      <xdr:row>26</xdr:row>
      <xdr:rowOff>19050</xdr:rowOff>
    </xdr:to>
    <xdr:graphicFrame macro="">
      <xdr:nvGraphicFramePr>
        <xdr:cNvPr id="4" name="Chart 3">
          <a:extLst>
            <a:ext uri="{FF2B5EF4-FFF2-40B4-BE49-F238E27FC236}">
              <a16:creationId xmlns:a16="http://schemas.microsoft.com/office/drawing/2014/main" id="{86072342-7ADF-2DD1-317F-290A327CE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38099</xdr:colOff>
      <xdr:row>9</xdr:row>
      <xdr:rowOff>19049</xdr:rowOff>
    </xdr:from>
    <xdr:to>
      <xdr:col>16</xdr:col>
      <xdr:colOff>238124</xdr:colOff>
      <xdr:row>23</xdr:row>
      <xdr:rowOff>57149</xdr:rowOff>
    </xdr:to>
    <xdr:graphicFrame macro="">
      <xdr:nvGraphicFramePr>
        <xdr:cNvPr id="5" name="Chart 4">
          <a:extLst>
            <a:ext uri="{FF2B5EF4-FFF2-40B4-BE49-F238E27FC236}">
              <a16:creationId xmlns:a16="http://schemas.microsoft.com/office/drawing/2014/main" id="{6E538D55-8FBF-0057-6279-9AFADF6ED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19049</xdr:rowOff>
    </xdr:from>
    <xdr:to>
      <xdr:col>6</xdr:col>
      <xdr:colOff>104774</xdr:colOff>
      <xdr:row>30</xdr:row>
      <xdr:rowOff>42862</xdr:rowOff>
    </xdr:to>
    <xdr:graphicFrame macro="">
      <xdr:nvGraphicFramePr>
        <xdr:cNvPr id="9" name="Chart 8">
          <a:extLst>
            <a:ext uri="{FF2B5EF4-FFF2-40B4-BE49-F238E27FC236}">
              <a16:creationId xmlns:a16="http://schemas.microsoft.com/office/drawing/2014/main" id="{99267EFA-0CF1-418C-92DE-135D14C7F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119063</xdr:colOff>
      <xdr:row>1</xdr:row>
      <xdr:rowOff>19050</xdr:rowOff>
    </xdr:from>
    <xdr:to>
      <xdr:col>12</xdr:col>
      <xdr:colOff>566730</xdr:colOff>
      <xdr:row>30</xdr:row>
      <xdr:rowOff>47625</xdr:rowOff>
    </xdr:to>
    <xdr:graphicFrame macro="">
      <xdr:nvGraphicFramePr>
        <xdr:cNvPr id="10" name="Chart 9">
          <a:extLst>
            <a:ext uri="{FF2B5EF4-FFF2-40B4-BE49-F238E27FC236}">
              <a16:creationId xmlns:a16="http://schemas.microsoft.com/office/drawing/2014/main" id="{3F6BB154-7B43-4358-8323-4BF6B0DA7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8</xdr:row>
      <xdr:rowOff>90488</xdr:rowOff>
    </xdr:from>
    <xdr:to>
      <xdr:col>20</xdr:col>
      <xdr:colOff>600075</xdr:colOff>
      <xdr:row>30</xdr:row>
      <xdr:rowOff>66676</xdr:rowOff>
    </xdr:to>
    <xdr:graphicFrame macro="">
      <xdr:nvGraphicFramePr>
        <xdr:cNvPr id="11" name="Chart 10">
          <a:extLst>
            <a:ext uri="{FF2B5EF4-FFF2-40B4-BE49-F238E27FC236}">
              <a16:creationId xmlns:a16="http://schemas.microsoft.com/office/drawing/2014/main" id="{F202F37F-5639-4130-A2D8-C0B724EA4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219075</xdr:colOff>
      <xdr:row>1</xdr:row>
      <xdr:rowOff>28575</xdr:rowOff>
    </xdr:from>
    <xdr:to>
      <xdr:col>20</xdr:col>
      <xdr:colOff>628651</xdr:colOff>
      <xdr:row>8</xdr:row>
      <xdr:rowOff>28575</xdr:rowOff>
    </xdr:to>
    <mc:AlternateContent xmlns:mc="http://schemas.openxmlformats.org/markup-compatibility/2006" xmlns:a14="http://schemas.microsoft.com/office/drawing/2010/main">
      <mc:Choice Requires="a14">
        <xdr:graphicFrame macro="">
          <xdr:nvGraphicFramePr>
            <xdr:cNvPr id="12" name="Gender 3">
              <a:extLst>
                <a:ext uri="{FF2B5EF4-FFF2-40B4-BE49-F238E27FC236}">
                  <a16:creationId xmlns:a16="http://schemas.microsoft.com/office/drawing/2014/main" id="{30CCD823-0EF7-D98C-6321-53C48AC7A0B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1877675" y="423863"/>
              <a:ext cx="1704976"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1</xdr:row>
      <xdr:rowOff>28573</xdr:rowOff>
    </xdr:from>
    <xdr:to>
      <xdr:col>18</xdr:col>
      <xdr:colOff>176213</xdr:colOff>
      <xdr:row>8</xdr:row>
      <xdr:rowOff>28574</xdr:rowOff>
    </xdr:to>
    <mc:AlternateContent xmlns:mc="http://schemas.openxmlformats.org/markup-compatibility/2006" xmlns:a14="http://schemas.microsoft.com/office/drawing/2010/main">
      <mc:Choice Requires="a14">
        <xdr:graphicFrame macro="">
          <xdr:nvGraphicFramePr>
            <xdr:cNvPr id="13" name="Academic_Level 4">
              <a:extLst>
                <a:ext uri="{FF2B5EF4-FFF2-40B4-BE49-F238E27FC236}">
                  <a16:creationId xmlns:a16="http://schemas.microsoft.com/office/drawing/2014/main" id="{F777555D-7BAB-7CD7-A055-CA7D0623E8B7}"/>
                </a:ext>
              </a:extLst>
            </xdr:cNvPr>
            <xdr:cNvGraphicFramePr/>
          </xdr:nvGraphicFramePr>
          <xdr:xfrm>
            <a:off x="0" y="0"/>
            <a:ext cx="0" cy="0"/>
          </xdr:xfrm>
          <a:graphic>
            <a:graphicData uri="http://schemas.microsoft.com/office/drawing/2010/slicer">
              <sle:slicer xmlns:sle="http://schemas.microsoft.com/office/drawing/2010/slicer" name="Academic_Level 4"/>
            </a:graphicData>
          </a:graphic>
        </xdr:graphicFrame>
      </mc:Choice>
      <mc:Fallback xmlns="">
        <xdr:sp macro="" textlink="">
          <xdr:nvSpPr>
            <xdr:cNvPr id="0" name=""/>
            <xdr:cNvSpPr>
              <a:spLocks noTextEdit="1"/>
            </xdr:cNvSpPr>
          </xdr:nvSpPr>
          <xdr:spPr>
            <a:xfrm>
              <a:off x="10096500" y="423861"/>
              <a:ext cx="1738313"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609600</xdr:colOff>
      <xdr:row>1</xdr:row>
      <xdr:rowOff>23813</xdr:rowOff>
    </xdr:from>
    <xdr:to>
      <xdr:col>15</xdr:col>
      <xdr:colOff>347663</xdr:colOff>
      <xdr:row>8</xdr:row>
      <xdr:rowOff>33338</xdr:rowOff>
    </xdr:to>
    <mc:AlternateContent xmlns:mc="http://schemas.openxmlformats.org/markup-compatibility/2006" xmlns:a14="http://schemas.microsoft.com/office/drawing/2010/main">
      <mc:Choice Requires="a14">
        <xdr:graphicFrame macro="">
          <xdr:nvGraphicFramePr>
            <xdr:cNvPr id="14" name="Relationship_Status 1">
              <a:extLst>
                <a:ext uri="{FF2B5EF4-FFF2-40B4-BE49-F238E27FC236}">
                  <a16:creationId xmlns:a16="http://schemas.microsoft.com/office/drawing/2014/main" id="{6870C640-DC0B-284D-54F8-5045A4A930B8}"/>
                </a:ext>
              </a:extLst>
            </xdr:cNvPr>
            <xdr:cNvGraphicFramePr/>
          </xdr:nvGraphicFramePr>
          <xdr:xfrm>
            <a:off x="0" y="0"/>
            <a:ext cx="0" cy="0"/>
          </xdr:xfrm>
          <a:graphic>
            <a:graphicData uri="http://schemas.microsoft.com/office/drawing/2010/slicer">
              <sle:slicer xmlns:sle="http://schemas.microsoft.com/office/drawing/2010/slicer" name="Relationship_Status 1"/>
            </a:graphicData>
          </a:graphic>
        </xdr:graphicFrame>
      </mc:Choice>
      <mc:Fallback xmlns="">
        <xdr:sp macro="" textlink="">
          <xdr:nvSpPr>
            <xdr:cNvPr id="0" name=""/>
            <xdr:cNvSpPr>
              <a:spLocks noTextEdit="1"/>
            </xdr:cNvSpPr>
          </xdr:nvSpPr>
          <xdr:spPr>
            <a:xfrm>
              <a:off x="8382000" y="419101"/>
              <a:ext cx="1681163"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7</xdr:row>
      <xdr:rowOff>19050</xdr:rowOff>
    </xdr:from>
    <xdr:to>
      <xdr:col>2</xdr:col>
      <xdr:colOff>1400175</xdr:colOff>
      <xdr:row>22</xdr:row>
      <xdr:rowOff>47625</xdr:rowOff>
    </xdr:to>
    <xdr:graphicFrame macro="">
      <xdr:nvGraphicFramePr>
        <xdr:cNvPr id="2" name="Chart 1">
          <a:extLst>
            <a:ext uri="{FF2B5EF4-FFF2-40B4-BE49-F238E27FC236}">
              <a16:creationId xmlns:a16="http://schemas.microsoft.com/office/drawing/2014/main" id="{4AC22079-B652-EF6D-5264-7EAE55623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607218</xdr:colOff>
      <xdr:row>6</xdr:row>
      <xdr:rowOff>104775</xdr:rowOff>
    </xdr:from>
    <xdr:to>
      <xdr:col>14</xdr:col>
      <xdr:colOff>21430</xdr:colOff>
      <xdr:row>21</xdr:row>
      <xdr:rowOff>133350</xdr:rowOff>
    </xdr:to>
    <xdr:graphicFrame macro="">
      <xdr:nvGraphicFramePr>
        <xdr:cNvPr id="3" name="Chart 2">
          <a:extLst>
            <a:ext uri="{FF2B5EF4-FFF2-40B4-BE49-F238E27FC236}">
              <a16:creationId xmlns:a16="http://schemas.microsoft.com/office/drawing/2014/main" id="{8045A7E7-B172-A474-2C3E-4F2F650F6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7143</xdr:colOff>
      <xdr:row>6</xdr:row>
      <xdr:rowOff>114299</xdr:rowOff>
    </xdr:from>
    <xdr:to>
      <xdr:col>23</xdr:col>
      <xdr:colOff>4762</xdr:colOff>
      <xdr:row>23</xdr:row>
      <xdr:rowOff>80962</xdr:rowOff>
    </xdr:to>
    <xdr:graphicFrame macro="">
      <xdr:nvGraphicFramePr>
        <xdr:cNvPr id="4" name="Chart 3">
          <a:extLst>
            <a:ext uri="{FF2B5EF4-FFF2-40B4-BE49-F238E27FC236}">
              <a16:creationId xmlns:a16="http://schemas.microsoft.com/office/drawing/2014/main" id="{C47C6FDA-2B88-BA14-5AD4-4351D5C6D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120650</xdr:colOff>
      <xdr:row>12</xdr:row>
      <xdr:rowOff>69849</xdr:rowOff>
    </xdr:from>
    <xdr:to>
      <xdr:col>14</xdr:col>
      <xdr:colOff>266700</xdr:colOff>
      <xdr:row>30</xdr:row>
      <xdr:rowOff>11111</xdr:rowOff>
    </xdr:to>
    <xdr:graphicFrame macro="">
      <xdr:nvGraphicFramePr>
        <xdr:cNvPr id="2" name="Chart 1">
          <a:extLst>
            <a:ext uri="{FF2B5EF4-FFF2-40B4-BE49-F238E27FC236}">
              <a16:creationId xmlns:a16="http://schemas.microsoft.com/office/drawing/2014/main" id="{A377E45A-7444-4DFF-97E1-4E69E19FA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19050</xdr:rowOff>
    </xdr:from>
    <xdr:to>
      <xdr:col>7</xdr:col>
      <xdr:colOff>114300</xdr:colOff>
      <xdr:row>29</xdr:row>
      <xdr:rowOff>177800</xdr:rowOff>
    </xdr:to>
    <xdr:graphicFrame macro="">
      <xdr:nvGraphicFramePr>
        <xdr:cNvPr id="3" name="Chart 2">
          <a:extLst>
            <a:ext uri="{FF2B5EF4-FFF2-40B4-BE49-F238E27FC236}">
              <a16:creationId xmlns:a16="http://schemas.microsoft.com/office/drawing/2014/main" id="{C40A1A2D-A9DB-4736-889F-F36F87165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257176</xdr:colOff>
      <xdr:row>1</xdr:row>
      <xdr:rowOff>38100</xdr:rowOff>
    </xdr:from>
    <xdr:to>
      <xdr:col>20</xdr:col>
      <xdr:colOff>600075</xdr:colOff>
      <xdr:row>29</xdr:row>
      <xdr:rowOff>127000</xdr:rowOff>
    </xdr:to>
    <xdr:graphicFrame macro="">
      <xdr:nvGraphicFramePr>
        <xdr:cNvPr id="4" name="Chart 3">
          <a:extLst>
            <a:ext uri="{FF2B5EF4-FFF2-40B4-BE49-F238E27FC236}">
              <a16:creationId xmlns:a16="http://schemas.microsoft.com/office/drawing/2014/main" id="{8285527C-DA1D-4F0E-A1D6-275FBD480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590550</xdr:colOff>
      <xdr:row>7</xdr:row>
      <xdr:rowOff>69851</xdr:rowOff>
    </xdr:from>
    <xdr:to>
      <xdr:col>14</xdr:col>
      <xdr:colOff>203200</xdr:colOff>
      <xdr:row>12</xdr:row>
      <xdr:rowOff>88900</xdr:rowOff>
    </xdr:to>
    <mc:AlternateContent xmlns:mc="http://schemas.openxmlformats.org/markup-compatibility/2006" xmlns:a14="http://schemas.microsoft.com/office/drawing/2010/main">
      <mc:Choice Requires="a14">
        <xdr:graphicFrame macro="">
          <xdr:nvGraphicFramePr>
            <xdr:cNvPr id="5" name="Gender 4">
              <a:extLst>
                <a:ext uri="{FF2B5EF4-FFF2-40B4-BE49-F238E27FC236}">
                  <a16:creationId xmlns:a16="http://schemas.microsoft.com/office/drawing/2014/main" id="{F06ACEC7-89F5-80B6-1C92-846023EBA02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7067550" y="1568451"/>
              <a:ext cx="220345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141286</xdr:colOff>
      <xdr:row>0</xdr:row>
      <xdr:rowOff>381001</xdr:rowOff>
    </xdr:from>
    <xdr:to>
      <xdr:col>10</xdr:col>
      <xdr:colOff>482600</xdr:colOff>
      <xdr:row>12</xdr:row>
      <xdr:rowOff>76200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6EB25CCD-80FF-1992-994D-0D1B3DCC29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75186" y="381001"/>
              <a:ext cx="2284414"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577850</xdr:colOff>
      <xdr:row>0</xdr:row>
      <xdr:rowOff>387351</xdr:rowOff>
    </xdr:from>
    <xdr:to>
      <xdr:col>14</xdr:col>
      <xdr:colOff>209550</xdr:colOff>
      <xdr:row>7</xdr:row>
      <xdr:rowOff>69850</xdr:rowOff>
    </xdr:to>
    <mc:AlternateContent xmlns:mc="http://schemas.openxmlformats.org/markup-compatibility/2006" xmlns:a14="http://schemas.microsoft.com/office/drawing/2010/main">
      <mc:Choice Requires="a14">
        <xdr:graphicFrame macro="">
          <xdr:nvGraphicFramePr>
            <xdr:cNvPr id="7" name="Addicted">
              <a:extLst>
                <a:ext uri="{FF2B5EF4-FFF2-40B4-BE49-F238E27FC236}">
                  <a16:creationId xmlns:a16="http://schemas.microsoft.com/office/drawing/2014/main" id="{1BE04419-E932-2028-6F66-4AAF3CAB94A5}"/>
                </a:ext>
              </a:extLst>
            </xdr:cNvPr>
            <xdr:cNvGraphicFramePr/>
          </xdr:nvGraphicFramePr>
          <xdr:xfrm>
            <a:off x="0" y="0"/>
            <a:ext cx="0" cy="0"/>
          </xdr:xfrm>
          <a:graphic>
            <a:graphicData uri="http://schemas.microsoft.com/office/drawing/2010/slicer">
              <sle:slicer xmlns:sle="http://schemas.microsoft.com/office/drawing/2010/slicer" name="Addicted"/>
            </a:graphicData>
          </a:graphic>
        </xdr:graphicFrame>
      </mc:Choice>
      <mc:Fallback xmlns="">
        <xdr:sp macro="" textlink="">
          <xdr:nvSpPr>
            <xdr:cNvPr id="0" name=""/>
            <xdr:cNvSpPr>
              <a:spLocks noTextEdit="1"/>
            </xdr:cNvSpPr>
          </xdr:nvSpPr>
          <xdr:spPr>
            <a:xfrm>
              <a:off x="7054850" y="387351"/>
              <a:ext cx="22225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n Singh" refreshedDate="45839.875435648151" createdVersion="8" refreshedVersion="8" minRefreshableVersion="3" recordCount="705" xr:uid="{86BF5EF6-6E68-4033-8831-7E812A8D990D}">
  <cacheSource type="worksheet">
    <worksheetSource ref="A1:M706" sheet="Students Social Media Addiction"/>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915931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n Singh" refreshedDate="45840.552337615743" createdVersion="8" refreshedVersion="8" minRefreshableVersion="3" recordCount="705" xr:uid="{6F6649C6-C34C-4B7F-8002-9D6E69283D99}">
  <cacheSource type="worksheet">
    <worksheetSource ref="A1:N706" sheet="Students Social Media Addiction"/>
  </cacheSource>
  <cacheFields count="14">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ount="6">
        <n v="6"/>
        <n v="8"/>
        <n v="5"/>
        <n v="7"/>
        <n v="4"/>
        <n v="9"/>
      </sharedItems>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 name="Social_media_level" numFmtId="0">
      <sharedItems count="3">
        <s v="Medium"/>
        <s v="Low"/>
        <s v="High"/>
      </sharedItems>
    </cacheField>
  </cacheFields>
  <extLst>
    <ext xmlns:x14="http://schemas.microsoft.com/office/spreadsheetml/2009/9/main" uri="{725AE2AE-9491-48be-B2B4-4EB974FC3084}">
      <x14:pivotCacheDefinition pivotCacheId="7905144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n Singh" refreshedDate="45841.927823611113" createdVersion="8" refreshedVersion="8" minRefreshableVersion="3" recordCount="705" xr:uid="{BBD928EB-2C64-47B1-B32F-F557C01F6D42}">
  <cacheSource type="worksheet">
    <worksheetSource ref="A1:R706" sheet="Students Social Media Addiction"/>
  </cacheSource>
  <cacheFields count="18">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ount="6">
        <n v="6"/>
        <n v="8"/>
        <n v="5"/>
        <n v="7"/>
        <n v="4"/>
        <n v="9"/>
      </sharedItems>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ount="6">
        <n v="3"/>
        <n v="0"/>
        <n v="4"/>
        <n v="1"/>
        <n v="2"/>
        <n v="5"/>
      </sharedItems>
    </cacheField>
    <cacheField name="Addicted_Score" numFmtId="0">
      <sharedItems containsSemiMixedTypes="0" containsString="0" containsNumber="1" containsInteger="1" minValue="2" maxValue="9" count="8">
        <n v="8"/>
        <n v="3"/>
        <n v="9"/>
        <n v="4"/>
        <n v="7"/>
        <n v="2"/>
        <n v="5"/>
        <n v="6"/>
      </sharedItems>
    </cacheField>
    <cacheField name="Social_media_level" numFmtId="0">
      <sharedItems count="3">
        <s v="Medium"/>
        <s v="Low"/>
        <s v="High"/>
      </sharedItems>
    </cacheField>
    <cacheField name="Negative_Effect" numFmtId="0">
      <sharedItems count="3">
        <s v="Average"/>
        <s v="High"/>
        <s v="Less"/>
      </sharedItems>
    </cacheField>
    <cacheField name="Negative_Sleep_Effect" numFmtId="0">
      <sharedItems count="3">
        <s v="Average"/>
        <s v="High"/>
        <s v="Less"/>
      </sharedItems>
    </cacheField>
    <cacheField name="Mental_Health" numFmtId="0">
      <sharedItems count="3">
        <s v="Bad"/>
        <s v="Good"/>
        <s v="Worst"/>
      </sharedItems>
    </cacheField>
    <cacheField name="Addivted" numFmtId="0">
      <sharedItems count="3">
        <s v="High"/>
        <s v="Less"/>
        <s v="Medium"/>
      </sharedItems>
    </cacheField>
  </cacheFields>
  <extLst>
    <ext xmlns:x14="http://schemas.microsoft.com/office/spreadsheetml/2009/9/main" uri="{725AE2AE-9491-48be-B2B4-4EB974FC3084}">
      <x14:pivotCacheDefinition pivotCacheId="1131713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x v="0"/>
    <x v="0"/>
    <s v="Yes"/>
    <n v="6.5"/>
    <n v="6"/>
    <x v="0"/>
    <n v="3"/>
    <n v="8"/>
  </r>
  <r>
    <n v="2"/>
    <x v="1"/>
    <x v="1"/>
    <x v="1"/>
    <x v="1"/>
    <x v="1"/>
    <x v="1"/>
    <s v="No"/>
    <n v="7.5"/>
    <n v="8"/>
    <x v="1"/>
    <n v="0"/>
    <n v="3"/>
  </r>
  <r>
    <n v="3"/>
    <x v="2"/>
    <x v="0"/>
    <x v="0"/>
    <x v="2"/>
    <x v="2"/>
    <x v="2"/>
    <s v="Yes"/>
    <n v="5"/>
    <n v="5"/>
    <x v="2"/>
    <n v="4"/>
    <n v="9"/>
  </r>
  <r>
    <n v="4"/>
    <x v="3"/>
    <x v="1"/>
    <x v="2"/>
    <x v="3"/>
    <x v="3"/>
    <x v="3"/>
    <s v="No"/>
    <n v="7"/>
    <n v="7"/>
    <x v="1"/>
    <n v="1"/>
    <n v="4"/>
  </r>
  <r>
    <n v="5"/>
    <x v="4"/>
    <x v="1"/>
    <x v="1"/>
    <x v="4"/>
    <x v="4"/>
    <x v="4"/>
    <s v="Yes"/>
    <n v="6"/>
    <n v="6"/>
    <x v="0"/>
    <n v="2"/>
    <n v="7"/>
  </r>
  <r>
    <n v="6"/>
    <x v="0"/>
    <x v="0"/>
    <x v="0"/>
    <x v="5"/>
    <x v="5"/>
    <x v="0"/>
    <s v="Yes"/>
    <n v="4.5"/>
    <n v="4"/>
    <x v="2"/>
    <n v="5"/>
    <n v="9"/>
  </r>
  <r>
    <n v="7"/>
    <x v="5"/>
    <x v="1"/>
    <x v="1"/>
    <x v="6"/>
    <x v="6"/>
    <x v="5"/>
    <s v="No"/>
    <n v="8"/>
    <n v="9"/>
    <x v="1"/>
    <n v="0"/>
    <n v="2"/>
  </r>
  <r>
    <n v="8"/>
    <x v="2"/>
    <x v="0"/>
    <x v="0"/>
    <x v="7"/>
    <x v="7"/>
    <x v="6"/>
    <s v="Yes"/>
    <n v="6"/>
    <n v="6"/>
    <x v="0"/>
    <n v="2"/>
    <n v="8"/>
  </r>
  <r>
    <n v="9"/>
    <x v="3"/>
    <x v="1"/>
    <x v="2"/>
    <x v="8"/>
    <x v="8"/>
    <x v="2"/>
    <s v="No"/>
    <n v="6.5"/>
    <n v="7"/>
    <x v="1"/>
    <n v="1"/>
    <n v="5"/>
  </r>
  <r>
    <n v="10"/>
    <x v="4"/>
    <x v="0"/>
    <x v="1"/>
    <x v="9"/>
    <x v="9"/>
    <x v="0"/>
    <s v="No"/>
    <n v="7"/>
    <n v="7"/>
    <x v="0"/>
    <n v="1"/>
    <n v="4"/>
  </r>
  <r>
    <n v="11"/>
    <x v="0"/>
    <x v="1"/>
    <x v="0"/>
    <x v="10"/>
    <x v="10"/>
    <x v="6"/>
    <s v="Yes"/>
    <n v="6.2"/>
    <n v="5"/>
    <x v="2"/>
    <n v="3"/>
    <n v="7"/>
  </r>
  <r>
    <n v="12"/>
    <x v="2"/>
    <x v="0"/>
    <x v="0"/>
    <x v="11"/>
    <x v="11"/>
    <x v="2"/>
    <s v="Yes"/>
    <n v="5.8"/>
    <n v="6"/>
    <x v="0"/>
    <n v="2"/>
    <n v="8"/>
  </r>
  <r>
    <n v="13"/>
    <x v="1"/>
    <x v="1"/>
    <x v="1"/>
    <x v="12"/>
    <x v="12"/>
    <x v="5"/>
    <s v="No"/>
    <n v="7.2"/>
    <n v="8"/>
    <x v="1"/>
    <n v="1"/>
    <n v="4"/>
  </r>
  <r>
    <n v="14"/>
    <x v="3"/>
    <x v="0"/>
    <x v="2"/>
    <x v="13"/>
    <x v="13"/>
    <x v="0"/>
    <s v="Yes"/>
    <n v="5.5"/>
    <n v="5"/>
    <x v="1"/>
    <n v="4"/>
    <n v="9"/>
  </r>
  <r>
    <n v="15"/>
    <x v="4"/>
    <x v="1"/>
    <x v="0"/>
    <x v="14"/>
    <x v="14"/>
    <x v="3"/>
    <s v="No"/>
    <n v="6.8"/>
    <n v="7"/>
    <x v="0"/>
    <n v="2"/>
    <n v="5"/>
  </r>
  <r>
    <n v="16"/>
    <x v="2"/>
    <x v="0"/>
    <x v="0"/>
    <x v="15"/>
    <x v="15"/>
    <x v="2"/>
    <s v="Yes"/>
    <n v="6"/>
    <n v="6"/>
    <x v="2"/>
    <n v="3"/>
    <n v="7"/>
  </r>
  <r>
    <n v="17"/>
    <x v="6"/>
    <x v="1"/>
    <x v="1"/>
    <x v="16"/>
    <x v="16"/>
    <x v="5"/>
    <s v="No"/>
    <n v="7.8"/>
    <n v="8"/>
    <x v="1"/>
    <n v="0"/>
    <n v="3"/>
  </r>
  <r>
    <n v="18"/>
    <x v="0"/>
    <x v="0"/>
    <x v="2"/>
    <x v="17"/>
    <x v="17"/>
    <x v="0"/>
    <s v="Yes"/>
    <n v="5.7"/>
    <n v="5"/>
    <x v="0"/>
    <n v="3"/>
    <n v="8"/>
  </r>
  <r>
    <n v="19"/>
    <x v="4"/>
    <x v="1"/>
    <x v="0"/>
    <x v="18"/>
    <x v="18"/>
    <x v="4"/>
    <s v="No"/>
    <n v="6.7"/>
    <n v="7"/>
    <x v="1"/>
    <n v="1"/>
    <n v="5"/>
  </r>
  <r>
    <n v="20"/>
    <x v="2"/>
    <x v="0"/>
    <x v="0"/>
    <x v="19"/>
    <x v="19"/>
    <x v="6"/>
    <s v="Yes"/>
    <n v="5.9"/>
    <n v="6"/>
    <x v="2"/>
    <n v="3"/>
    <n v="7"/>
  </r>
  <r>
    <n v="21"/>
    <x v="3"/>
    <x v="1"/>
    <x v="2"/>
    <x v="20"/>
    <x v="20"/>
    <x v="2"/>
    <s v="Yes"/>
    <n v="5.5"/>
    <n v="5"/>
    <x v="1"/>
    <n v="4"/>
    <n v="8"/>
  </r>
  <r>
    <n v="22"/>
    <x v="5"/>
    <x v="0"/>
    <x v="1"/>
    <x v="21"/>
    <x v="21"/>
    <x v="5"/>
    <s v="No"/>
    <n v="7.3"/>
    <n v="8"/>
    <x v="0"/>
    <n v="1"/>
    <n v="4"/>
  </r>
  <r>
    <n v="23"/>
    <x v="0"/>
    <x v="1"/>
    <x v="0"/>
    <x v="22"/>
    <x v="22"/>
    <x v="0"/>
    <s v="Yes"/>
    <n v="5.8"/>
    <n v="6"/>
    <x v="2"/>
    <n v="3"/>
    <n v="7"/>
  </r>
  <r>
    <n v="24"/>
    <x v="2"/>
    <x v="0"/>
    <x v="0"/>
    <x v="23"/>
    <x v="23"/>
    <x v="2"/>
    <s v="Yes"/>
    <n v="5.4"/>
    <n v="5"/>
    <x v="1"/>
    <n v="4"/>
    <n v="8"/>
  </r>
  <r>
    <n v="25"/>
    <x v="1"/>
    <x v="1"/>
    <x v="1"/>
    <x v="24"/>
    <x v="24"/>
    <x v="4"/>
    <s v="No"/>
    <n v="6.9"/>
    <n v="7"/>
    <x v="0"/>
    <n v="2"/>
    <n v="5"/>
  </r>
  <r>
    <n v="26"/>
    <x v="0"/>
    <x v="0"/>
    <x v="2"/>
    <x v="25"/>
    <x v="25"/>
    <x v="0"/>
    <s v="Yes"/>
    <n v="5.2"/>
    <n v="5"/>
    <x v="2"/>
    <n v="4"/>
    <n v="9"/>
  </r>
  <r>
    <n v="27"/>
    <x v="4"/>
    <x v="1"/>
    <x v="0"/>
    <x v="26"/>
    <x v="26"/>
    <x v="3"/>
    <s v="No"/>
    <n v="6.6"/>
    <n v="7"/>
    <x v="1"/>
    <n v="1"/>
    <n v="5"/>
  </r>
  <r>
    <n v="28"/>
    <x v="2"/>
    <x v="0"/>
    <x v="0"/>
    <x v="27"/>
    <x v="27"/>
    <x v="2"/>
    <s v="Yes"/>
    <n v="5.9"/>
    <n v="6"/>
    <x v="0"/>
    <n v="3"/>
    <n v="7"/>
  </r>
  <r>
    <n v="29"/>
    <x v="6"/>
    <x v="1"/>
    <x v="1"/>
    <x v="28"/>
    <x v="28"/>
    <x v="5"/>
    <s v="No"/>
    <n v="7.4"/>
    <n v="8"/>
    <x v="1"/>
    <n v="0"/>
    <n v="3"/>
  </r>
  <r>
    <n v="30"/>
    <x v="0"/>
    <x v="0"/>
    <x v="2"/>
    <x v="29"/>
    <x v="29"/>
    <x v="0"/>
    <s v="Yes"/>
    <n v="5.3"/>
    <n v="5"/>
    <x v="2"/>
    <n v="4"/>
    <n v="8"/>
  </r>
  <r>
    <n v="31"/>
    <x v="4"/>
    <x v="1"/>
    <x v="0"/>
    <x v="30"/>
    <x v="30"/>
    <x v="4"/>
    <s v="No"/>
    <n v="6.7"/>
    <n v="7"/>
    <x v="1"/>
    <n v="1"/>
    <n v="5"/>
  </r>
  <r>
    <n v="32"/>
    <x v="2"/>
    <x v="0"/>
    <x v="0"/>
    <x v="31"/>
    <x v="10"/>
    <x v="6"/>
    <s v="Yes"/>
    <n v="5.7"/>
    <n v="6"/>
    <x v="0"/>
    <n v="3"/>
    <n v="7"/>
  </r>
  <r>
    <n v="33"/>
    <x v="3"/>
    <x v="1"/>
    <x v="2"/>
    <x v="32"/>
    <x v="31"/>
    <x v="2"/>
    <s v="Yes"/>
    <n v="5.4"/>
    <n v="5"/>
    <x v="2"/>
    <n v="4"/>
    <n v="8"/>
  </r>
  <r>
    <n v="34"/>
    <x v="5"/>
    <x v="0"/>
    <x v="1"/>
    <x v="33"/>
    <x v="32"/>
    <x v="5"/>
    <s v="No"/>
    <n v="7.2"/>
    <n v="8"/>
    <x v="1"/>
    <n v="1"/>
    <n v="4"/>
  </r>
  <r>
    <n v="35"/>
    <x v="0"/>
    <x v="1"/>
    <x v="0"/>
    <x v="34"/>
    <x v="19"/>
    <x v="0"/>
    <s v="Yes"/>
    <n v="5.8"/>
    <n v="6"/>
    <x v="0"/>
    <n v="3"/>
    <n v="7"/>
  </r>
  <r>
    <n v="36"/>
    <x v="2"/>
    <x v="0"/>
    <x v="0"/>
    <x v="35"/>
    <x v="33"/>
    <x v="2"/>
    <s v="Yes"/>
    <n v="5.5"/>
    <n v="5"/>
    <x v="2"/>
    <n v="4"/>
    <n v="8"/>
  </r>
  <r>
    <n v="37"/>
    <x v="1"/>
    <x v="1"/>
    <x v="1"/>
    <x v="36"/>
    <x v="34"/>
    <x v="4"/>
    <s v="No"/>
    <n v="6.8"/>
    <n v="7"/>
    <x v="1"/>
    <n v="1"/>
    <n v="5"/>
  </r>
  <r>
    <n v="38"/>
    <x v="0"/>
    <x v="0"/>
    <x v="2"/>
    <x v="37"/>
    <x v="35"/>
    <x v="0"/>
    <s v="Yes"/>
    <n v="5.0999999999999996"/>
    <n v="5"/>
    <x v="0"/>
    <n v="4"/>
    <n v="9"/>
  </r>
  <r>
    <n v="39"/>
    <x v="4"/>
    <x v="1"/>
    <x v="0"/>
    <x v="38"/>
    <x v="36"/>
    <x v="3"/>
    <s v="No"/>
    <n v="6.5"/>
    <n v="7"/>
    <x v="2"/>
    <n v="2"/>
    <n v="6"/>
  </r>
  <r>
    <n v="40"/>
    <x v="2"/>
    <x v="0"/>
    <x v="0"/>
    <x v="39"/>
    <x v="4"/>
    <x v="2"/>
    <s v="Yes"/>
    <n v="5.8"/>
    <n v="6"/>
    <x v="1"/>
    <n v="3"/>
    <n v="7"/>
  </r>
  <r>
    <n v="41"/>
    <x v="6"/>
    <x v="1"/>
    <x v="1"/>
    <x v="40"/>
    <x v="37"/>
    <x v="5"/>
    <s v="No"/>
    <n v="7.3"/>
    <n v="8"/>
    <x v="0"/>
    <n v="1"/>
    <n v="4"/>
  </r>
  <r>
    <n v="42"/>
    <x v="0"/>
    <x v="0"/>
    <x v="2"/>
    <x v="41"/>
    <x v="7"/>
    <x v="0"/>
    <s v="Yes"/>
    <n v="5.4"/>
    <n v="5"/>
    <x v="2"/>
    <n v="4"/>
    <n v="8"/>
  </r>
  <r>
    <n v="43"/>
    <x v="4"/>
    <x v="1"/>
    <x v="0"/>
    <x v="42"/>
    <x v="14"/>
    <x v="4"/>
    <s v="No"/>
    <n v="6.6"/>
    <n v="7"/>
    <x v="1"/>
    <n v="2"/>
    <n v="5"/>
  </r>
  <r>
    <n v="44"/>
    <x v="2"/>
    <x v="0"/>
    <x v="0"/>
    <x v="43"/>
    <x v="38"/>
    <x v="6"/>
    <s v="Yes"/>
    <n v="5.7"/>
    <n v="6"/>
    <x v="0"/>
    <n v="3"/>
    <n v="7"/>
  </r>
  <r>
    <n v="45"/>
    <x v="3"/>
    <x v="1"/>
    <x v="2"/>
    <x v="44"/>
    <x v="11"/>
    <x v="2"/>
    <s v="Yes"/>
    <n v="5.3"/>
    <n v="5"/>
    <x v="1"/>
    <n v="4"/>
    <n v="8"/>
  </r>
  <r>
    <n v="46"/>
    <x v="5"/>
    <x v="0"/>
    <x v="1"/>
    <x v="45"/>
    <x v="39"/>
    <x v="5"/>
    <s v="No"/>
    <n v="7.1"/>
    <n v="8"/>
    <x v="2"/>
    <n v="1"/>
    <n v="4"/>
  </r>
  <r>
    <n v="47"/>
    <x v="0"/>
    <x v="1"/>
    <x v="0"/>
    <x v="46"/>
    <x v="10"/>
    <x v="0"/>
    <s v="Yes"/>
    <n v="5.9"/>
    <n v="6"/>
    <x v="0"/>
    <n v="3"/>
    <n v="7"/>
  </r>
  <r>
    <n v="48"/>
    <x v="2"/>
    <x v="0"/>
    <x v="0"/>
    <x v="47"/>
    <x v="11"/>
    <x v="2"/>
    <s v="Yes"/>
    <n v="5.6"/>
    <n v="5"/>
    <x v="1"/>
    <n v="4"/>
    <n v="8"/>
  </r>
  <r>
    <n v="49"/>
    <x v="1"/>
    <x v="1"/>
    <x v="1"/>
    <x v="48"/>
    <x v="9"/>
    <x v="4"/>
    <s v="No"/>
    <n v="6.7"/>
    <n v="7"/>
    <x v="0"/>
    <n v="2"/>
    <n v="5"/>
  </r>
  <r>
    <n v="50"/>
    <x v="0"/>
    <x v="0"/>
    <x v="2"/>
    <x v="49"/>
    <x v="40"/>
    <x v="0"/>
    <s v="Yes"/>
    <n v="5.2"/>
    <n v="5"/>
    <x v="2"/>
    <n v="4"/>
    <n v="9"/>
  </r>
  <r>
    <n v="51"/>
    <x v="4"/>
    <x v="1"/>
    <x v="0"/>
    <x v="50"/>
    <x v="26"/>
    <x v="3"/>
    <s v="No"/>
    <n v="6.4"/>
    <n v="7"/>
    <x v="1"/>
    <n v="2"/>
    <n v="6"/>
  </r>
  <r>
    <n v="52"/>
    <x v="2"/>
    <x v="0"/>
    <x v="0"/>
    <x v="51"/>
    <x v="19"/>
    <x v="2"/>
    <s v="Yes"/>
    <n v="5.8"/>
    <n v="6"/>
    <x v="0"/>
    <n v="3"/>
    <n v="7"/>
  </r>
  <r>
    <n v="53"/>
    <x v="6"/>
    <x v="1"/>
    <x v="1"/>
    <x v="52"/>
    <x v="41"/>
    <x v="5"/>
    <s v="No"/>
    <n v="7.2"/>
    <n v="8"/>
    <x v="2"/>
    <n v="1"/>
    <n v="4"/>
  </r>
  <r>
    <n v="54"/>
    <x v="0"/>
    <x v="0"/>
    <x v="2"/>
    <x v="53"/>
    <x v="23"/>
    <x v="0"/>
    <s v="Yes"/>
    <n v="5.5"/>
    <n v="5"/>
    <x v="1"/>
    <n v="4"/>
    <n v="8"/>
  </r>
  <r>
    <n v="55"/>
    <x v="4"/>
    <x v="1"/>
    <x v="0"/>
    <x v="54"/>
    <x v="30"/>
    <x v="4"/>
    <s v="No"/>
    <n v="6.5"/>
    <n v="7"/>
    <x v="0"/>
    <n v="2"/>
    <n v="5"/>
  </r>
  <r>
    <n v="56"/>
    <x v="2"/>
    <x v="0"/>
    <x v="0"/>
    <x v="55"/>
    <x v="22"/>
    <x v="6"/>
    <s v="Yes"/>
    <n v="5.6"/>
    <n v="6"/>
    <x v="2"/>
    <n v="3"/>
    <n v="7"/>
  </r>
  <r>
    <n v="57"/>
    <x v="3"/>
    <x v="1"/>
    <x v="2"/>
    <x v="56"/>
    <x v="33"/>
    <x v="2"/>
    <s v="Yes"/>
    <n v="5.2"/>
    <n v="5"/>
    <x v="1"/>
    <n v="4"/>
    <n v="8"/>
  </r>
  <r>
    <n v="58"/>
    <x v="5"/>
    <x v="0"/>
    <x v="1"/>
    <x v="57"/>
    <x v="12"/>
    <x v="5"/>
    <s v="No"/>
    <n v="7"/>
    <n v="8"/>
    <x v="0"/>
    <n v="1"/>
    <n v="4"/>
  </r>
  <r>
    <n v="59"/>
    <x v="0"/>
    <x v="1"/>
    <x v="0"/>
    <x v="58"/>
    <x v="38"/>
    <x v="0"/>
    <s v="Yes"/>
    <n v="5.9"/>
    <n v="6"/>
    <x v="2"/>
    <n v="3"/>
    <n v="7"/>
  </r>
  <r>
    <n v="60"/>
    <x v="2"/>
    <x v="0"/>
    <x v="0"/>
    <x v="59"/>
    <x v="31"/>
    <x v="2"/>
    <s v="Yes"/>
    <n v="5.7"/>
    <n v="5"/>
    <x v="1"/>
    <n v="4"/>
    <n v="8"/>
  </r>
  <r>
    <n v="61"/>
    <x v="1"/>
    <x v="1"/>
    <x v="1"/>
    <x v="60"/>
    <x v="34"/>
    <x v="4"/>
    <s v="No"/>
    <n v="7.1"/>
    <n v="7"/>
    <x v="1"/>
    <n v="1"/>
    <n v="5"/>
  </r>
  <r>
    <n v="62"/>
    <x v="0"/>
    <x v="0"/>
    <x v="0"/>
    <x v="61"/>
    <x v="33"/>
    <x v="0"/>
    <s v="Yes"/>
    <n v="5.6"/>
    <n v="5"/>
    <x v="0"/>
    <n v="3"/>
    <n v="8"/>
  </r>
  <r>
    <n v="63"/>
    <x v="2"/>
    <x v="1"/>
    <x v="0"/>
    <x v="62"/>
    <x v="15"/>
    <x v="2"/>
    <s v="Yes"/>
    <n v="6"/>
    <n v="6"/>
    <x v="2"/>
    <n v="3"/>
    <n v="7"/>
  </r>
  <r>
    <n v="64"/>
    <x v="3"/>
    <x v="0"/>
    <x v="2"/>
    <x v="63"/>
    <x v="25"/>
    <x v="6"/>
    <s v="Yes"/>
    <n v="5.2"/>
    <n v="4"/>
    <x v="1"/>
    <n v="4"/>
    <n v="9"/>
  </r>
  <r>
    <n v="65"/>
    <x v="5"/>
    <x v="1"/>
    <x v="1"/>
    <x v="64"/>
    <x v="37"/>
    <x v="5"/>
    <s v="No"/>
    <n v="7.4"/>
    <n v="8"/>
    <x v="0"/>
    <n v="1"/>
    <n v="3"/>
  </r>
  <r>
    <n v="66"/>
    <x v="4"/>
    <x v="0"/>
    <x v="0"/>
    <x v="65"/>
    <x v="10"/>
    <x v="0"/>
    <s v="Yes"/>
    <n v="5.8"/>
    <n v="6"/>
    <x v="1"/>
    <n v="3"/>
    <n v="7"/>
  </r>
  <r>
    <n v="67"/>
    <x v="2"/>
    <x v="1"/>
    <x v="0"/>
    <x v="66"/>
    <x v="36"/>
    <x v="3"/>
    <s v="No"/>
    <n v="6.5"/>
    <n v="7"/>
    <x v="2"/>
    <n v="2"/>
    <n v="6"/>
  </r>
  <r>
    <n v="68"/>
    <x v="0"/>
    <x v="0"/>
    <x v="2"/>
    <x v="67"/>
    <x v="23"/>
    <x v="2"/>
    <s v="Yes"/>
    <n v="5.4"/>
    <n v="5"/>
    <x v="0"/>
    <n v="4"/>
    <n v="8"/>
  </r>
  <r>
    <n v="69"/>
    <x v="1"/>
    <x v="1"/>
    <x v="1"/>
    <x v="68"/>
    <x v="12"/>
    <x v="5"/>
    <s v="No"/>
    <n v="7.2"/>
    <n v="8"/>
    <x v="1"/>
    <n v="1"/>
    <n v="4"/>
  </r>
  <r>
    <n v="70"/>
    <x v="2"/>
    <x v="0"/>
    <x v="0"/>
    <x v="69"/>
    <x v="4"/>
    <x v="0"/>
    <s v="Yes"/>
    <n v="5.9"/>
    <n v="6"/>
    <x v="2"/>
    <n v="3"/>
    <n v="7"/>
  </r>
  <r>
    <n v="71"/>
    <x v="3"/>
    <x v="1"/>
    <x v="2"/>
    <x v="70"/>
    <x v="31"/>
    <x v="6"/>
    <s v="Yes"/>
    <n v="5.5"/>
    <n v="5"/>
    <x v="1"/>
    <n v="4"/>
    <n v="8"/>
  </r>
  <r>
    <n v="72"/>
    <x v="4"/>
    <x v="0"/>
    <x v="1"/>
    <x v="71"/>
    <x v="24"/>
    <x v="4"/>
    <s v="No"/>
    <n v="6.8"/>
    <n v="7"/>
    <x v="0"/>
    <n v="2"/>
    <n v="5"/>
  </r>
  <r>
    <n v="73"/>
    <x v="0"/>
    <x v="1"/>
    <x v="0"/>
    <x v="72"/>
    <x v="22"/>
    <x v="2"/>
    <s v="Yes"/>
    <n v="5.7"/>
    <n v="6"/>
    <x v="2"/>
    <n v="3"/>
    <n v="7"/>
  </r>
  <r>
    <n v="74"/>
    <x v="2"/>
    <x v="0"/>
    <x v="0"/>
    <x v="73"/>
    <x v="7"/>
    <x v="0"/>
    <s v="Yes"/>
    <n v="5.3"/>
    <n v="5"/>
    <x v="1"/>
    <n v="4"/>
    <n v="8"/>
  </r>
  <r>
    <n v="75"/>
    <x v="5"/>
    <x v="1"/>
    <x v="1"/>
    <x v="74"/>
    <x v="21"/>
    <x v="5"/>
    <s v="No"/>
    <n v="7.3"/>
    <n v="8"/>
    <x v="0"/>
    <n v="1"/>
    <n v="4"/>
  </r>
  <r>
    <n v="76"/>
    <x v="4"/>
    <x v="0"/>
    <x v="0"/>
    <x v="75"/>
    <x v="38"/>
    <x v="6"/>
    <s v="Yes"/>
    <n v="5.8"/>
    <n v="6"/>
    <x v="1"/>
    <n v="3"/>
    <n v="7"/>
  </r>
  <r>
    <n v="77"/>
    <x v="0"/>
    <x v="1"/>
    <x v="2"/>
    <x v="76"/>
    <x v="11"/>
    <x v="2"/>
    <s v="Yes"/>
    <n v="5.4"/>
    <n v="5"/>
    <x v="2"/>
    <n v="4"/>
    <n v="8"/>
  </r>
  <r>
    <n v="78"/>
    <x v="1"/>
    <x v="0"/>
    <x v="1"/>
    <x v="77"/>
    <x v="42"/>
    <x v="4"/>
    <s v="No"/>
    <n v="7"/>
    <n v="7"/>
    <x v="0"/>
    <n v="2"/>
    <n v="5"/>
  </r>
  <r>
    <n v="79"/>
    <x v="2"/>
    <x v="1"/>
    <x v="0"/>
    <x v="78"/>
    <x v="19"/>
    <x v="3"/>
    <s v="Yes"/>
    <n v="5.9"/>
    <n v="6"/>
    <x v="1"/>
    <n v="3"/>
    <n v="7"/>
  </r>
  <r>
    <n v="80"/>
    <x v="3"/>
    <x v="0"/>
    <x v="2"/>
    <x v="79"/>
    <x v="29"/>
    <x v="0"/>
    <s v="Yes"/>
    <n v="5.2"/>
    <n v="5"/>
    <x v="2"/>
    <n v="4"/>
    <n v="9"/>
  </r>
  <r>
    <n v="81"/>
    <x v="4"/>
    <x v="1"/>
    <x v="1"/>
    <x v="80"/>
    <x v="3"/>
    <x v="5"/>
    <s v="No"/>
    <n v="7.1"/>
    <n v="8"/>
    <x v="0"/>
    <n v="1"/>
    <n v="4"/>
  </r>
  <r>
    <n v="82"/>
    <x v="0"/>
    <x v="0"/>
    <x v="0"/>
    <x v="81"/>
    <x v="10"/>
    <x v="2"/>
    <s v="Yes"/>
    <n v="5.7"/>
    <n v="6"/>
    <x v="1"/>
    <n v="3"/>
    <n v="7"/>
  </r>
  <r>
    <n v="83"/>
    <x v="2"/>
    <x v="1"/>
    <x v="0"/>
    <x v="82"/>
    <x v="26"/>
    <x v="4"/>
    <s v="No"/>
    <n v="6.6"/>
    <n v="7"/>
    <x v="2"/>
    <n v="2"/>
    <n v="6"/>
  </r>
  <r>
    <n v="84"/>
    <x v="1"/>
    <x v="0"/>
    <x v="1"/>
    <x v="83"/>
    <x v="39"/>
    <x v="5"/>
    <s v="No"/>
    <n v="7.2"/>
    <n v="8"/>
    <x v="0"/>
    <n v="1"/>
    <n v="4"/>
  </r>
  <r>
    <n v="85"/>
    <x v="3"/>
    <x v="1"/>
    <x v="2"/>
    <x v="84"/>
    <x v="33"/>
    <x v="6"/>
    <s v="Yes"/>
    <n v="5.3"/>
    <n v="5"/>
    <x v="1"/>
    <n v="4"/>
    <n v="8"/>
  </r>
  <r>
    <n v="86"/>
    <x v="4"/>
    <x v="0"/>
    <x v="0"/>
    <x v="85"/>
    <x v="4"/>
    <x v="0"/>
    <s v="Yes"/>
    <n v="5.8"/>
    <n v="6"/>
    <x v="2"/>
    <n v="3"/>
    <n v="7"/>
  </r>
  <r>
    <n v="87"/>
    <x v="0"/>
    <x v="1"/>
    <x v="2"/>
    <x v="86"/>
    <x v="20"/>
    <x v="2"/>
    <s v="Yes"/>
    <n v="5.5"/>
    <n v="5"/>
    <x v="0"/>
    <n v="4"/>
    <n v="8"/>
  </r>
  <r>
    <n v="88"/>
    <x v="5"/>
    <x v="0"/>
    <x v="1"/>
    <x v="87"/>
    <x v="32"/>
    <x v="5"/>
    <s v="No"/>
    <n v="7.3"/>
    <n v="8"/>
    <x v="1"/>
    <n v="1"/>
    <n v="4"/>
  </r>
  <r>
    <n v="89"/>
    <x v="2"/>
    <x v="1"/>
    <x v="0"/>
    <x v="88"/>
    <x v="27"/>
    <x v="3"/>
    <s v="Yes"/>
    <n v="6"/>
    <n v="6"/>
    <x v="2"/>
    <n v="3"/>
    <n v="7"/>
  </r>
  <r>
    <n v="90"/>
    <x v="3"/>
    <x v="0"/>
    <x v="2"/>
    <x v="89"/>
    <x v="7"/>
    <x v="0"/>
    <s v="Yes"/>
    <n v="5.2"/>
    <n v="5"/>
    <x v="1"/>
    <n v="4"/>
    <n v="9"/>
  </r>
  <r>
    <n v="91"/>
    <x v="1"/>
    <x v="1"/>
    <x v="1"/>
    <x v="90"/>
    <x v="42"/>
    <x v="4"/>
    <s v="No"/>
    <n v="7"/>
    <n v="7"/>
    <x v="0"/>
    <n v="2"/>
    <n v="5"/>
  </r>
  <r>
    <n v="92"/>
    <x v="0"/>
    <x v="0"/>
    <x v="0"/>
    <x v="91"/>
    <x v="19"/>
    <x v="2"/>
    <s v="Yes"/>
    <n v="5.8"/>
    <n v="6"/>
    <x v="2"/>
    <n v="3"/>
    <n v="7"/>
  </r>
  <r>
    <n v="93"/>
    <x v="4"/>
    <x v="1"/>
    <x v="0"/>
    <x v="92"/>
    <x v="14"/>
    <x v="6"/>
    <s v="No"/>
    <n v="6.5"/>
    <n v="7"/>
    <x v="1"/>
    <n v="2"/>
    <n v="6"/>
  </r>
  <r>
    <n v="94"/>
    <x v="2"/>
    <x v="0"/>
    <x v="2"/>
    <x v="93"/>
    <x v="11"/>
    <x v="0"/>
    <s v="Yes"/>
    <n v="5.4"/>
    <n v="5"/>
    <x v="0"/>
    <n v="4"/>
    <n v="8"/>
  </r>
  <r>
    <n v="95"/>
    <x v="5"/>
    <x v="1"/>
    <x v="1"/>
    <x v="94"/>
    <x v="41"/>
    <x v="5"/>
    <s v="No"/>
    <n v="7.4"/>
    <n v="8"/>
    <x v="2"/>
    <n v="1"/>
    <n v="4"/>
  </r>
  <r>
    <n v="96"/>
    <x v="0"/>
    <x v="0"/>
    <x v="0"/>
    <x v="95"/>
    <x v="22"/>
    <x v="2"/>
    <s v="Yes"/>
    <n v="5.7"/>
    <n v="6"/>
    <x v="1"/>
    <n v="3"/>
    <n v="7"/>
  </r>
  <r>
    <n v="97"/>
    <x v="3"/>
    <x v="1"/>
    <x v="2"/>
    <x v="96"/>
    <x v="23"/>
    <x v="6"/>
    <s v="Yes"/>
    <n v="5.3"/>
    <n v="5"/>
    <x v="0"/>
    <n v="4"/>
    <n v="8"/>
  </r>
  <r>
    <n v="98"/>
    <x v="1"/>
    <x v="0"/>
    <x v="1"/>
    <x v="97"/>
    <x v="12"/>
    <x v="5"/>
    <s v="No"/>
    <n v="7.1"/>
    <n v="8"/>
    <x v="2"/>
    <n v="1"/>
    <n v="4"/>
  </r>
  <r>
    <n v="99"/>
    <x v="2"/>
    <x v="1"/>
    <x v="0"/>
    <x v="98"/>
    <x v="38"/>
    <x v="0"/>
    <s v="Yes"/>
    <n v="5.9"/>
    <n v="6"/>
    <x v="1"/>
    <n v="3"/>
    <n v="7"/>
  </r>
  <r>
    <n v="100"/>
    <x v="4"/>
    <x v="0"/>
    <x v="0"/>
    <x v="99"/>
    <x v="31"/>
    <x v="2"/>
    <s v="Yes"/>
    <n v="5.5"/>
    <n v="5"/>
    <x v="0"/>
    <n v="4"/>
    <n v="8"/>
  </r>
  <r>
    <n v="101"/>
    <x v="0"/>
    <x v="1"/>
    <x v="2"/>
    <x v="100"/>
    <x v="7"/>
    <x v="3"/>
    <s v="Yes"/>
    <n v="5.2"/>
    <n v="5"/>
    <x v="2"/>
    <n v="4"/>
    <n v="9"/>
  </r>
  <r>
    <n v="102"/>
    <x v="5"/>
    <x v="0"/>
    <x v="1"/>
    <x v="101"/>
    <x v="21"/>
    <x v="5"/>
    <s v="No"/>
    <n v="7.3"/>
    <n v="8"/>
    <x v="1"/>
    <n v="1"/>
    <n v="4"/>
  </r>
  <r>
    <n v="103"/>
    <x v="2"/>
    <x v="1"/>
    <x v="0"/>
    <x v="102"/>
    <x v="19"/>
    <x v="4"/>
    <s v="Yes"/>
    <n v="5.8"/>
    <n v="6"/>
    <x v="0"/>
    <n v="3"/>
    <n v="7"/>
  </r>
  <r>
    <n v="104"/>
    <x v="3"/>
    <x v="0"/>
    <x v="2"/>
    <x v="103"/>
    <x v="33"/>
    <x v="0"/>
    <s v="Yes"/>
    <n v="5.4"/>
    <n v="5"/>
    <x v="1"/>
    <n v="4"/>
    <n v="8"/>
  </r>
  <r>
    <n v="105"/>
    <x v="1"/>
    <x v="1"/>
    <x v="1"/>
    <x v="104"/>
    <x v="42"/>
    <x v="5"/>
    <s v="No"/>
    <n v="7"/>
    <n v="7"/>
    <x v="2"/>
    <n v="2"/>
    <n v="5"/>
  </r>
  <r>
    <n v="106"/>
    <x v="0"/>
    <x v="0"/>
    <x v="0"/>
    <x v="105"/>
    <x v="10"/>
    <x v="2"/>
    <s v="Yes"/>
    <n v="5.7"/>
    <n v="6"/>
    <x v="0"/>
    <n v="3"/>
    <n v="7"/>
  </r>
  <r>
    <n v="107"/>
    <x v="4"/>
    <x v="1"/>
    <x v="0"/>
    <x v="106"/>
    <x v="26"/>
    <x v="3"/>
    <s v="No"/>
    <n v="6.6"/>
    <n v="7"/>
    <x v="1"/>
    <n v="2"/>
    <n v="6"/>
  </r>
  <r>
    <n v="108"/>
    <x v="2"/>
    <x v="0"/>
    <x v="2"/>
    <x v="107"/>
    <x v="11"/>
    <x v="6"/>
    <s v="Yes"/>
    <n v="5.5"/>
    <n v="5"/>
    <x v="2"/>
    <n v="4"/>
    <n v="8"/>
  </r>
  <r>
    <n v="109"/>
    <x v="5"/>
    <x v="1"/>
    <x v="1"/>
    <x v="108"/>
    <x v="32"/>
    <x v="5"/>
    <s v="No"/>
    <n v="7.2"/>
    <n v="8"/>
    <x v="0"/>
    <n v="1"/>
    <n v="4"/>
  </r>
  <r>
    <n v="110"/>
    <x v="0"/>
    <x v="0"/>
    <x v="0"/>
    <x v="109"/>
    <x v="22"/>
    <x v="0"/>
    <s v="Yes"/>
    <n v="5.8"/>
    <n v="6"/>
    <x v="1"/>
    <n v="3"/>
    <n v="7"/>
  </r>
  <r>
    <n v="111"/>
    <x v="2"/>
    <x v="1"/>
    <x v="0"/>
    <x v="0"/>
    <x v="25"/>
    <x v="0"/>
    <s v="Yes"/>
    <n v="6.2"/>
    <n v="5"/>
    <x v="1"/>
    <n v="4"/>
    <n v="8"/>
  </r>
  <r>
    <n v="112"/>
    <x v="4"/>
    <x v="0"/>
    <x v="0"/>
    <x v="1"/>
    <x v="7"/>
    <x v="2"/>
    <s v="Yes"/>
    <n v="5.9"/>
    <n v="6"/>
    <x v="0"/>
    <n v="3"/>
    <n v="7"/>
  </r>
  <r>
    <n v="113"/>
    <x v="0"/>
    <x v="1"/>
    <x v="0"/>
    <x v="106"/>
    <x v="22"/>
    <x v="4"/>
    <s v="No"/>
    <n v="7.1"/>
    <n v="7"/>
    <x v="1"/>
    <n v="2"/>
    <n v="5"/>
  </r>
  <r>
    <n v="114"/>
    <x v="1"/>
    <x v="0"/>
    <x v="1"/>
    <x v="105"/>
    <x v="11"/>
    <x v="0"/>
    <s v="Yes"/>
    <n v="6"/>
    <n v="5"/>
    <x v="1"/>
    <n v="4"/>
    <n v="8"/>
  </r>
  <r>
    <n v="115"/>
    <x v="2"/>
    <x v="1"/>
    <x v="0"/>
    <x v="108"/>
    <x v="0"/>
    <x v="2"/>
    <s v="Yes"/>
    <n v="6.3"/>
    <n v="6"/>
    <x v="0"/>
    <n v="3"/>
    <n v="7"/>
  </r>
  <r>
    <n v="116"/>
    <x v="0"/>
    <x v="0"/>
    <x v="0"/>
    <x v="109"/>
    <x v="10"/>
    <x v="0"/>
    <s v="No"/>
    <n v="7.2"/>
    <n v="8"/>
    <x v="1"/>
    <n v="2"/>
    <n v="5"/>
  </r>
  <r>
    <n v="117"/>
    <x v="4"/>
    <x v="1"/>
    <x v="1"/>
    <x v="0"/>
    <x v="2"/>
    <x v="4"/>
    <s v="Yes"/>
    <n v="5.8"/>
    <n v="5"/>
    <x v="0"/>
    <n v="4"/>
    <n v="8"/>
  </r>
  <r>
    <n v="118"/>
    <x v="2"/>
    <x v="0"/>
    <x v="0"/>
    <x v="1"/>
    <x v="23"/>
    <x v="0"/>
    <s v="Yes"/>
    <n v="6.1"/>
    <n v="6"/>
    <x v="1"/>
    <n v="3"/>
    <n v="7"/>
  </r>
  <r>
    <n v="119"/>
    <x v="1"/>
    <x v="1"/>
    <x v="1"/>
    <x v="106"/>
    <x v="19"/>
    <x v="2"/>
    <s v="No"/>
    <n v="7.3"/>
    <n v="7"/>
    <x v="1"/>
    <n v="2"/>
    <n v="5"/>
  </r>
  <r>
    <n v="120"/>
    <x v="0"/>
    <x v="0"/>
    <x v="0"/>
    <x v="105"/>
    <x v="31"/>
    <x v="0"/>
    <s v="Yes"/>
    <n v="6.2"/>
    <n v="5"/>
    <x v="0"/>
    <n v="4"/>
    <n v="8"/>
  </r>
  <r>
    <n v="121"/>
    <x v="2"/>
    <x v="1"/>
    <x v="0"/>
    <x v="108"/>
    <x v="29"/>
    <x v="4"/>
    <s v="Yes"/>
    <n v="5.9"/>
    <n v="6"/>
    <x v="1"/>
    <n v="3"/>
    <n v="7"/>
  </r>
  <r>
    <n v="122"/>
    <x v="4"/>
    <x v="0"/>
    <x v="1"/>
    <x v="109"/>
    <x v="38"/>
    <x v="0"/>
    <s v="No"/>
    <n v="7.4"/>
    <n v="8"/>
    <x v="0"/>
    <n v="2"/>
    <n v="5"/>
  </r>
  <r>
    <n v="123"/>
    <x v="0"/>
    <x v="1"/>
    <x v="0"/>
    <x v="0"/>
    <x v="20"/>
    <x v="2"/>
    <s v="Yes"/>
    <n v="6.3"/>
    <n v="5"/>
    <x v="1"/>
    <n v="4"/>
    <n v="8"/>
  </r>
  <r>
    <n v="124"/>
    <x v="1"/>
    <x v="0"/>
    <x v="1"/>
    <x v="1"/>
    <x v="7"/>
    <x v="0"/>
    <s v="Yes"/>
    <n v="5.8"/>
    <n v="6"/>
    <x v="0"/>
    <n v="3"/>
    <n v="7"/>
  </r>
  <r>
    <n v="125"/>
    <x v="2"/>
    <x v="1"/>
    <x v="0"/>
    <x v="106"/>
    <x v="4"/>
    <x v="4"/>
    <s v="No"/>
    <n v="7.5"/>
    <n v="7"/>
    <x v="1"/>
    <n v="2"/>
    <n v="5"/>
  </r>
  <r>
    <n v="126"/>
    <x v="4"/>
    <x v="0"/>
    <x v="1"/>
    <x v="105"/>
    <x v="0"/>
    <x v="0"/>
    <s v="Yes"/>
    <n v="6.4"/>
    <n v="5"/>
    <x v="0"/>
    <n v="4"/>
    <n v="8"/>
  </r>
  <r>
    <n v="127"/>
    <x v="0"/>
    <x v="1"/>
    <x v="0"/>
    <x v="108"/>
    <x v="23"/>
    <x v="2"/>
    <s v="Yes"/>
    <n v="5.7"/>
    <n v="6"/>
    <x v="1"/>
    <n v="3"/>
    <n v="7"/>
  </r>
  <r>
    <n v="128"/>
    <x v="2"/>
    <x v="0"/>
    <x v="0"/>
    <x v="109"/>
    <x v="27"/>
    <x v="0"/>
    <s v="No"/>
    <n v="7.6"/>
    <n v="8"/>
    <x v="0"/>
    <n v="2"/>
    <n v="5"/>
  </r>
  <r>
    <n v="129"/>
    <x v="1"/>
    <x v="1"/>
    <x v="1"/>
    <x v="0"/>
    <x v="43"/>
    <x v="4"/>
    <s v="Yes"/>
    <n v="6.5"/>
    <n v="5"/>
    <x v="1"/>
    <n v="4"/>
    <n v="8"/>
  </r>
  <r>
    <n v="130"/>
    <x v="4"/>
    <x v="0"/>
    <x v="1"/>
    <x v="1"/>
    <x v="33"/>
    <x v="0"/>
    <s v="Yes"/>
    <n v="5.6"/>
    <n v="6"/>
    <x v="0"/>
    <n v="3"/>
    <n v="7"/>
  </r>
  <r>
    <n v="131"/>
    <x v="0"/>
    <x v="1"/>
    <x v="0"/>
    <x v="106"/>
    <x v="44"/>
    <x v="2"/>
    <s v="No"/>
    <n v="7.7"/>
    <n v="7"/>
    <x v="1"/>
    <n v="2"/>
    <n v="5"/>
  </r>
  <r>
    <n v="132"/>
    <x v="2"/>
    <x v="0"/>
    <x v="0"/>
    <x v="105"/>
    <x v="17"/>
    <x v="0"/>
    <s v="Yes"/>
    <n v="6.6"/>
    <n v="5"/>
    <x v="0"/>
    <n v="4"/>
    <n v="8"/>
  </r>
  <r>
    <n v="133"/>
    <x v="1"/>
    <x v="1"/>
    <x v="1"/>
    <x v="108"/>
    <x v="11"/>
    <x v="4"/>
    <s v="Yes"/>
    <n v="5.5"/>
    <n v="6"/>
    <x v="1"/>
    <n v="3"/>
    <n v="7"/>
  </r>
  <r>
    <n v="134"/>
    <x v="4"/>
    <x v="0"/>
    <x v="1"/>
    <x v="109"/>
    <x v="15"/>
    <x v="0"/>
    <s v="No"/>
    <n v="7.8"/>
    <n v="8"/>
    <x v="0"/>
    <n v="2"/>
    <n v="5"/>
  </r>
  <r>
    <n v="135"/>
    <x v="0"/>
    <x v="1"/>
    <x v="0"/>
    <x v="0"/>
    <x v="22"/>
    <x v="2"/>
    <s v="Yes"/>
    <n v="6.7"/>
    <n v="5"/>
    <x v="1"/>
    <n v="4"/>
    <n v="8"/>
  </r>
  <r>
    <n v="136"/>
    <x v="2"/>
    <x v="0"/>
    <x v="0"/>
    <x v="1"/>
    <x v="31"/>
    <x v="0"/>
    <s v="Yes"/>
    <n v="5.4"/>
    <n v="6"/>
    <x v="0"/>
    <n v="3"/>
    <n v="7"/>
  </r>
  <r>
    <n v="137"/>
    <x v="1"/>
    <x v="1"/>
    <x v="1"/>
    <x v="106"/>
    <x v="45"/>
    <x v="4"/>
    <s v="No"/>
    <n v="7.9"/>
    <n v="7"/>
    <x v="1"/>
    <n v="2"/>
    <n v="5"/>
  </r>
  <r>
    <n v="138"/>
    <x v="4"/>
    <x v="0"/>
    <x v="1"/>
    <x v="105"/>
    <x v="10"/>
    <x v="0"/>
    <s v="Yes"/>
    <n v="6.8"/>
    <n v="5"/>
    <x v="0"/>
    <n v="4"/>
    <n v="8"/>
  </r>
  <r>
    <n v="139"/>
    <x v="0"/>
    <x v="1"/>
    <x v="0"/>
    <x v="108"/>
    <x v="20"/>
    <x v="2"/>
    <s v="Yes"/>
    <n v="5.3"/>
    <n v="6"/>
    <x v="1"/>
    <n v="3"/>
    <n v="7"/>
  </r>
  <r>
    <n v="140"/>
    <x v="2"/>
    <x v="0"/>
    <x v="0"/>
    <x v="109"/>
    <x v="8"/>
    <x v="0"/>
    <s v="No"/>
    <n v="8"/>
    <n v="8"/>
    <x v="0"/>
    <n v="2"/>
    <n v="5"/>
  </r>
  <r>
    <n v="141"/>
    <x v="1"/>
    <x v="1"/>
    <x v="1"/>
    <x v="0"/>
    <x v="19"/>
    <x v="4"/>
    <s v="Yes"/>
    <n v="6.9"/>
    <n v="5"/>
    <x v="1"/>
    <n v="4"/>
    <n v="8"/>
  </r>
  <r>
    <n v="142"/>
    <x v="4"/>
    <x v="0"/>
    <x v="1"/>
    <x v="1"/>
    <x v="0"/>
    <x v="0"/>
    <s v="Yes"/>
    <n v="5.2"/>
    <n v="6"/>
    <x v="0"/>
    <n v="3"/>
    <n v="7"/>
  </r>
  <r>
    <n v="143"/>
    <x v="0"/>
    <x v="1"/>
    <x v="0"/>
    <x v="106"/>
    <x v="36"/>
    <x v="2"/>
    <s v="No"/>
    <n v="8.1"/>
    <n v="7"/>
    <x v="1"/>
    <n v="2"/>
    <n v="5"/>
  </r>
  <r>
    <n v="144"/>
    <x v="2"/>
    <x v="0"/>
    <x v="0"/>
    <x v="105"/>
    <x v="38"/>
    <x v="0"/>
    <s v="Yes"/>
    <n v="7"/>
    <n v="5"/>
    <x v="0"/>
    <n v="4"/>
    <n v="8"/>
  </r>
  <r>
    <n v="145"/>
    <x v="1"/>
    <x v="1"/>
    <x v="1"/>
    <x v="108"/>
    <x v="43"/>
    <x v="4"/>
    <s v="Yes"/>
    <n v="5.0999999999999996"/>
    <n v="6"/>
    <x v="1"/>
    <n v="3"/>
    <n v="7"/>
  </r>
  <r>
    <n v="146"/>
    <x v="4"/>
    <x v="0"/>
    <x v="1"/>
    <x v="109"/>
    <x v="26"/>
    <x v="0"/>
    <s v="No"/>
    <n v="8.1999999999999993"/>
    <n v="8"/>
    <x v="0"/>
    <n v="2"/>
    <n v="5"/>
  </r>
  <r>
    <n v="147"/>
    <x v="0"/>
    <x v="1"/>
    <x v="0"/>
    <x v="0"/>
    <x v="4"/>
    <x v="2"/>
    <s v="Yes"/>
    <n v="7.1"/>
    <n v="5"/>
    <x v="1"/>
    <n v="4"/>
    <n v="8"/>
  </r>
  <r>
    <n v="148"/>
    <x v="2"/>
    <x v="0"/>
    <x v="0"/>
    <x v="1"/>
    <x v="17"/>
    <x v="0"/>
    <s v="Yes"/>
    <n v="5"/>
    <n v="6"/>
    <x v="0"/>
    <n v="3"/>
    <n v="7"/>
  </r>
  <r>
    <n v="149"/>
    <x v="1"/>
    <x v="1"/>
    <x v="1"/>
    <x v="106"/>
    <x v="14"/>
    <x v="4"/>
    <s v="No"/>
    <n v="8.3000000000000007"/>
    <n v="7"/>
    <x v="1"/>
    <n v="2"/>
    <n v="5"/>
  </r>
  <r>
    <n v="150"/>
    <x v="4"/>
    <x v="0"/>
    <x v="1"/>
    <x v="105"/>
    <x v="27"/>
    <x v="0"/>
    <s v="Yes"/>
    <n v="7.2"/>
    <n v="5"/>
    <x v="0"/>
    <n v="4"/>
    <n v="8"/>
  </r>
  <r>
    <n v="151"/>
    <x v="0"/>
    <x v="1"/>
    <x v="0"/>
    <x v="108"/>
    <x v="22"/>
    <x v="2"/>
    <s v="Yes"/>
    <n v="4.9000000000000004"/>
    <n v="6"/>
    <x v="1"/>
    <n v="3"/>
    <n v="7"/>
  </r>
  <r>
    <n v="152"/>
    <x v="2"/>
    <x v="0"/>
    <x v="0"/>
    <x v="109"/>
    <x v="30"/>
    <x v="0"/>
    <s v="No"/>
    <n v="8.4"/>
    <n v="8"/>
    <x v="0"/>
    <n v="2"/>
    <n v="5"/>
  </r>
  <r>
    <n v="153"/>
    <x v="1"/>
    <x v="1"/>
    <x v="1"/>
    <x v="0"/>
    <x v="44"/>
    <x v="4"/>
    <s v="Yes"/>
    <n v="7.3"/>
    <n v="5"/>
    <x v="1"/>
    <n v="4"/>
    <n v="8"/>
  </r>
  <r>
    <n v="154"/>
    <x v="4"/>
    <x v="0"/>
    <x v="1"/>
    <x v="1"/>
    <x v="10"/>
    <x v="0"/>
    <s v="Yes"/>
    <n v="4.8"/>
    <n v="6"/>
    <x v="0"/>
    <n v="3"/>
    <n v="7"/>
  </r>
  <r>
    <n v="155"/>
    <x v="0"/>
    <x v="1"/>
    <x v="0"/>
    <x v="106"/>
    <x v="18"/>
    <x v="2"/>
    <s v="No"/>
    <n v="8.5"/>
    <n v="7"/>
    <x v="1"/>
    <n v="2"/>
    <n v="5"/>
  </r>
  <r>
    <n v="156"/>
    <x v="2"/>
    <x v="0"/>
    <x v="0"/>
    <x v="105"/>
    <x v="15"/>
    <x v="0"/>
    <s v="Yes"/>
    <n v="7.4"/>
    <n v="5"/>
    <x v="0"/>
    <n v="4"/>
    <n v="8"/>
  </r>
  <r>
    <n v="157"/>
    <x v="1"/>
    <x v="1"/>
    <x v="1"/>
    <x v="108"/>
    <x v="19"/>
    <x v="4"/>
    <s v="Yes"/>
    <n v="4.7"/>
    <n v="6"/>
    <x v="1"/>
    <n v="3"/>
    <n v="7"/>
  </r>
  <r>
    <n v="158"/>
    <x v="4"/>
    <x v="0"/>
    <x v="1"/>
    <x v="109"/>
    <x v="46"/>
    <x v="0"/>
    <s v="No"/>
    <n v="8.6"/>
    <n v="8"/>
    <x v="0"/>
    <n v="2"/>
    <n v="5"/>
  </r>
  <r>
    <n v="159"/>
    <x v="0"/>
    <x v="1"/>
    <x v="0"/>
    <x v="0"/>
    <x v="45"/>
    <x v="2"/>
    <s v="Yes"/>
    <n v="7.5"/>
    <n v="5"/>
    <x v="1"/>
    <n v="4"/>
    <n v="8"/>
  </r>
  <r>
    <n v="160"/>
    <x v="2"/>
    <x v="0"/>
    <x v="0"/>
    <x v="1"/>
    <x v="38"/>
    <x v="0"/>
    <s v="Yes"/>
    <n v="4.5999999999999996"/>
    <n v="6"/>
    <x v="0"/>
    <n v="3"/>
    <n v="7"/>
  </r>
  <r>
    <n v="161"/>
    <x v="0"/>
    <x v="0"/>
    <x v="0"/>
    <x v="0"/>
    <x v="20"/>
    <x v="0"/>
    <s v="Yes"/>
    <n v="6.1"/>
    <n v="5"/>
    <x v="1"/>
    <n v="3"/>
    <n v="7"/>
  </r>
  <r>
    <n v="162"/>
    <x v="4"/>
    <x v="1"/>
    <x v="1"/>
    <x v="1"/>
    <x v="10"/>
    <x v="4"/>
    <s v="No"/>
    <n v="7.2"/>
    <n v="7"/>
    <x v="0"/>
    <n v="2"/>
    <n v="6"/>
  </r>
  <r>
    <n v="163"/>
    <x v="2"/>
    <x v="0"/>
    <x v="0"/>
    <x v="106"/>
    <x v="11"/>
    <x v="2"/>
    <s v="Yes"/>
    <n v="5.9"/>
    <n v="6"/>
    <x v="1"/>
    <n v="4"/>
    <n v="8"/>
  </r>
  <r>
    <n v="164"/>
    <x v="1"/>
    <x v="1"/>
    <x v="1"/>
    <x v="105"/>
    <x v="19"/>
    <x v="0"/>
    <s v="Yes"/>
    <n v="6.3"/>
    <n v="5"/>
    <x v="0"/>
    <n v="3"/>
    <n v="7"/>
  </r>
  <r>
    <n v="165"/>
    <x v="0"/>
    <x v="0"/>
    <x v="0"/>
    <x v="108"/>
    <x v="43"/>
    <x v="4"/>
    <s v="No"/>
    <n v="7"/>
    <n v="7"/>
    <x v="1"/>
    <n v="2"/>
    <n v="5"/>
  </r>
  <r>
    <n v="166"/>
    <x v="4"/>
    <x v="1"/>
    <x v="1"/>
    <x v="109"/>
    <x v="31"/>
    <x v="2"/>
    <s v="Yes"/>
    <n v="6"/>
    <n v="6"/>
    <x v="0"/>
    <n v="4"/>
    <n v="8"/>
  </r>
  <r>
    <n v="167"/>
    <x v="2"/>
    <x v="0"/>
    <x v="0"/>
    <x v="0"/>
    <x v="22"/>
    <x v="0"/>
    <s v="Yes"/>
    <n v="6.4"/>
    <n v="5"/>
    <x v="1"/>
    <n v="3"/>
    <n v="7"/>
  </r>
  <r>
    <n v="168"/>
    <x v="1"/>
    <x v="1"/>
    <x v="1"/>
    <x v="1"/>
    <x v="0"/>
    <x v="4"/>
    <s v="No"/>
    <n v="7.1"/>
    <n v="7"/>
    <x v="0"/>
    <n v="2"/>
    <n v="6"/>
  </r>
  <r>
    <n v="169"/>
    <x v="0"/>
    <x v="0"/>
    <x v="0"/>
    <x v="106"/>
    <x v="33"/>
    <x v="2"/>
    <s v="Yes"/>
    <n v="5.8"/>
    <n v="6"/>
    <x v="1"/>
    <n v="4"/>
    <n v="8"/>
  </r>
  <r>
    <n v="170"/>
    <x v="4"/>
    <x v="1"/>
    <x v="1"/>
    <x v="105"/>
    <x v="38"/>
    <x v="0"/>
    <s v="Yes"/>
    <n v="6.5"/>
    <n v="5"/>
    <x v="0"/>
    <n v="3"/>
    <n v="7"/>
  </r>
  <r>
    <n v="171"/>
    <x v="2"/>
    <x v="0"/>
    <x v="0"/>
    <x v="108"/>
    <x v="17"/>
    <x v="4"/>
    <s v="No"/>
    <n v="7.3"/>
    <n v="7"/>
    <x v="1"/>
    <n v="2"/>
    <n v="5"/>
  </r>
  <r>
    <n v="172"/>
    <x v="1"/>
    <x v="1"/>
    <x v="1"/>
    <x v="109"/>
    <x v="20"/>
    <x v="2"/>
    <s v="Yes"/>
    <n v="5.7"/>
    <n v="6"/>
    <x v="0"/>
    <n v="4"/>
    <n v="8"/>
  </r>
  <r>
    <n v="173"/>
    <x v="0"/>
    <x v="0"/>
    <x v="0"/>
    <x v="0"/>
    <x v="10"/>
    <x v="0"/>
    <s v="Yes"/>
    <n v="6.6"/>
    <n v="5"/>
    <x v="1"/>
    <n v="3"/>
    <n v="7"/>
  </r>
  <r>
    <n v="174"/>
    <x v="4"/>
    <x v="1"/>
    <x v="1"/>
    <x v="1"/>
    <x v="43"/>
    <x v="4"/>
    <s v="No"/>
    <n v="7.4"/>
    <n v="7"/>
    <x v="0"/>
    <n v="2"/>
    <n v="6"/>
  </r>
  <r>
    <n v="175"/>
    <x v="2"/>
    <x v="0"/>
    <x v="0"/>
    <x v="106"/>
    <x v="23"/>
    <x v="2"/>
    <s v="Yes"/>
    <n v="5.6"/>
    <n v="6"/>
    <x v="1"/>
    <n v="4"/>
    <n v="8"/>
  </r>
  <r>
    <n v="176"/>
    <x v="1"/>
    <x v="1"/>
    <x v="1"/>
    <x v="105"/>
    <x v="4"/>
    <x v="0"/>
    <s v="Yes"/>
    <n v="6.7"/>
    <n v="5"/>
    <x v="0"/>
    <n v="3"/>
    <n v="7"/>
  </r>
  <r>
    <n v="177"/>
    <x v="0"/>
    <x v="0"/>
    <x v="0"/>
    <x v="108"/>
    <x v="22"/>
    <x v="4"/>
    <s v="No"/>
    <n v="7.5"/>
    <n v="7"/>
    <x v="1"/>
    <n v="2"/>
    <n v="5"/>
  </r>
  <r>
    <n v="178"/>
    <x v="4"/>
    <x v="1"/>
    <x v="1"/>
    <x v="109"/>
    <x v="0"/>
    <x v="2"/>
    <s v="Yes"/>
    <n v="5.5"/>
    <n v="6"/>
    <x v="0"/>
    <n v="4"/>
    <n v="8"/>
  </r>
  <r>
    <n v="179"/>
    <x v="2"/>
    <x v="0"/>
    <x v="0"/>
    <x v="0"/>
    <x v="19"/>
    <x v="0"/>
    <s v="Yes"/>
    <n v="6.8"/>
    <n v="5"/>
    <x v="1"/>
    <n v="3"/>
    <n v="7"/>
  </r>
  <r>
    <n v="180"/>
    <x v="1"/>
    <x v="1"/>
    <x v="1"/>
    <x v="1"/>
    <x v="17"/>
    <x v="4"/>
    <s v="No"/>
    <n v="7.6"/>
    <n v="7"/>
    <x v="0"/>
    <n v="2"/>
    <n v="6"/>
  </r>
  <r>
    <n v="181"/>
    <x v="0"/>
    <x v="0"/>
    <x v="0"/>
    <x v="106"/>
    <x v="7"/>
    <x v="2"/>
    <s v="Yes"/>
    <n v="5.4"/>
    <n v="6"/>
    <x v="1"/>
    <n v="4"/>
    <n v="8"/>
  </r>
  <r>
    <n v="182"/>
    <x v="4"/>
    <x v="1"/>
    <x v="1"/>
    <x v="105"/>
    <x v="27"/>
    <x v="0"/>
    <s v="Yes"/>
    <n v="6.9"/>
    <n v="5"/>
    <x v="0"/>
    <n v="3"/>
    <n v="7"/>
  </r>
  <r>
    <n v="183"/>
    <x v="2"/>
    <x v="0"/>
    <x v="0"/>
    <x v="108"/>
    <x v="10"/>
    <x v="4"/>
    <s v="No"/>
    <n v="7.7"/>
    <n v="7"/>
    <x v="1"/>
    <n v="2"/>
    <n v="5"/>
  </r>
  <r>
    <n v="184"/>
    <x v="1"/>
    <x v="1"/>
    <x v="1"/>
    <x v="109"/>
    <x v="43"/>
    <x v="2"/>
    <s v="Yes"/>
    <n v="5.3"/>
    <n v="6"/>
    <x v="0"/>
    <n v="4"/>
    <n v="8"/>
  </r>
  <r>
    <n v="185"/>
    <x v="0"/>
    <x v="0"/>
    <x v="0"/>
    <x v="0"/>
    <x v="38"/>
    <x v="0"/>
    <s v="Yes"/>
    <n v="7"/>
    <n v="5"/>
    <x v="1"/>
    <n v="3"/>
    <n v="7"/>
  </r>
  <r>
    <n v="186"/>
    <x v="4"/>
    <x v="1"/>
    <x v="1"/>
    <x v="1"/>
    <x v="22"/>
    <x v="4"/>
    <s v="No"/>
    <n v="7.8"/>
    <n v="7"/>
    <x v="0"/>
    <n v="2"/>
    <n v="6"/>
  </r>
  <r>
    <n v="187"/>
    <x v="2"/>
    <x v="0"/>
    <x v="0"/>
    <x v="106"/>
    <x v="29"/>
    <x v="2"/>
    <s v="Yes"/>
    <n v="5.2"/>
    <n v="6"/>
    <x v="1"/>
    <n v="4"/>
    <n v="8"/>
  </r>
  <r>
    <n v="188"/>
    <x v="1"/>
    <x v="1"/>
    <x v="1"/>
    <x v="105"/>
    <x v="44"/>
    <x v="0"/>
    <s v="Yes"/>
    <n v="7.1"/>
    <n v="5"/>
    <x v="0"/>
    <n v="3"/>
    <n v="7"/>
  </r>
  <r>
    <n v="189"/>
    <x v="0"/>
    <x v="0"/>
    <x v="0"/>
    <x v="108"/>
    <x v="19"/>
    <x v="4"/>
    <s v="No"/>
    <n v="7.9"/>
    <n v="7"/>
    <x v="1"/>
    <n v="2"/>
    <n v="5"/>
  </r>
  <r>
    <n v="190"/>
    <x v="4"/>
    <x v="1"/>
    <x v="1"/>
    <x v="109"/>
    <x v="17"/>
    <x v="2"/>
    <s v="Yes"/>
    <n v="5.0999999999999996"/>
    <n v="6"/>
    <x v="0"/>
    <n v="4"/>
    <n v="8"/>
  </r>
  <r>
    <n v="191"/>
    <x v="2"/>
    <x v="0"/>
    <x v="0"/>
    <x v="0"/>
    <x v="4"/>
    <x v="0"/>
    <s v="Yes"/>
    <n v="7.2"/>
    <n v="5"/>
    <x v="1"/>
    <n v="3"/>
    <n v="7"/>
  </r>
  <r>
    <n v="192"/>
    <x v="1"/>
    <x v="1"/>
    <x v="1"/>
    <x v="1"/>
    <x v="10"/>
    <x v="4"/>
    <s v="No"/>
    <n v="8"/>
    <n v="7"/>
    <x v="0"/>
    <n v="2"/>
    <n v="6"/>
  </r>
  <r>
    <n v="193"/>
    <x v="0"/>
    <x v="0"/>
    <x v="0"/>
    <x v="106"/>
    <x v="2"/>
    <x v="2"/>
    <s v="Yes"/>
    <n v="5"/>
    <n v="6"/>
    <x v="1"/>
    <n v="4"/>
    <n v="8"/>
  </r>
  <r>
    <n v="194"/>
    <x v="4"/>
    <x v="1"/>
    <x v="1"/>
    <x v="105"/>
    <x v="15"/>
    <x v="0"/>
    <s v="Yes"/>
    <n v="7.3"/>
    <n v="5"/>
    <x v="0"/>
    <n v="3"/>
    <n v="7"/>
  </r>
  <r>
    <n v="195"/>
    <x v="2"/>
    <x v="0"/>
    <x v="0"/>
    <x v="108"/>
    <x v="38"/>
    <x v="4"/>
    <s v="No"/>
    <n v="8.1"/>
    <n v="7"/>
    <x v="1"/>
    <n v="2"/>
    <n v="5"/>
  </r>
  <r>
    <n v="196"/>
    <x v="1"/>
    <x v="1"/>
    <x v="1"/>
    <x v="109"/>
    <x v="22"/>
    <x v="2"/>
    <s v="Yes"/>
    <n v="4.9000000000000004"/>
    <n v="6"/>
    <x v="0"/>
    <n v="4"/>
    <n v="8"/>
  </r>
  <r>
    <n v="197"/>
    <x v="0"/>
    <x v="0"/>
    <x v="0"/>
    <x v="0"/>
    <x v="27"/>
    <x v="0"/>
    <s v="Yes"/>
    <n v="7.4"/>
    <n v="5"/>
    <x v="1"/>
    <n v="3"/>
    <n v="7"/>
  </r>
  <r>
    <n v="198"/>
    <x v="4"/>
    <x v="1"/>
    <x v="1"/>
    <x v="1"/>
    <x v="19"/>
    <x v="4"/>
    <s v="No"/>
    <n v="8.1999999999999993"/>
    <n v="7"/>
    <x v="0"/>
    <n v="2"/>
    <n v="6"/>
  </r>
  <r>
    <n v="199"/>
    <x v="2"/>
    <x v="0"/>
    <x v="0"/>
    <x v="106"/>
    <x v="25"/>
    <x v="2"/>
    <s v="Yes"/>
    <n v="4.8"/>
    <n v="6"/>
    <x v="1"/>
    <n v="4"/>
    <n v="8"/>
  </r>
  <r>
    <n v="200"/>
    <x v="1"/>
    <x v="1"/>
    <x v="1"/>
    <x v="105"/>
    <x v="45"/>
    <x v="0"/>
    <s v="Yes"/>
    <n v="7.5"/>
    <n v="5"/>
    <x v="0"/>
    <n v="3"/>
    <n v="7"/>
  </r>
  <r>
    <n v="201"/>
    <x v="0"/>
    <x v="0"/>
    <x v="0"/>
    <x v="108"/>
    <x v="4"/>
    <x v="4"/>
    <s v="No"/>
    <n v="8.3000000000000007"/>
    <n v="7"/>
    <x v="1"/>
    <n v="2"/>
    <n v="5"/>
  </r>
  <r>
    <n v="202"/>
    <x v="4"/>
    <x v="1"/>
    <x v="1"/>
    <x v="109"/>
    <x v="10"/>
    <x v="2"/>
    <s v="Yes"/>
    <n v="4.7"/>
    <n v="6"/>
    <x v="0"/>
    <n v="4"/>
    <n v="8"/>
  </r>
  <r>
    <n v="203"/>
    <x v="2"/>
    <x v="0"/>
    <x v="0"/>
    <x v="0"/>
    <x v="44"/>
    <x v="0"/>
    <s v="Yes"/>
    <n v="7.6"/>
    <n v="5"/>
    <x v="1"/>
    <n v="3"/>
    <n v="7"/>
  </r>
  <r>
    <n v="204"/>
    <x v="1"/>
    <x v="1"/>
    <x v="1"/>
    <x v="1"/>
    <x v="38"/>
    <x v="4"/>
    <s v="No"/>
    <n v="8.4"/>
    <n v="7"/>
    <x v="0"/>
    <n v="2"/>
    <n v="6"/>
  </r>
  <r>
    <n v="205"/>
    <x v="0"/>
    <x v="0"/>
    <x v="0"/>
    <x v="106"/>
    <x v="35"/>
    <x v="2"/>
    <s v="Yes"/>
    <n v="4.5999999999999996"/>
    <n v="6"/>
    <x v="1"/>
    <n v="4"/>
    <n v="8"/>
  </r>
  <r>
    <n v="206"/>
    <x v="4"/>
    <x v="1"/>
    <x v="1"/>
    <x v="105"/>
    <x v="8"/>
    <x v="0"/>
    <s v="Yes"/>
    <n v="7.7"/>
    <n v="5"/>
    <x v="0"/>
    <n v="3"/>
    <n v="7"/>
  </r>
  <r>
    <n v="207"/>
    <x v="2"/>
    <x v="0"/>
    <x v="0"/>
    <x v="108"/>
    <x v="27"/>
    <x v="4"/>
    <s v="No"/>
    <n v="8.5"/>
    <n v="7"/>
    <x v="1"/>
    <n v="2"/>
    <n v="5"/>
  </r>
  <r>
    <n v="208"/>
    <x v="1"/>
    <x v="1"/>
    <x v="1"/>
    <x v="109"/>
    <x v="19"/>
    <x v="2"/>
    <s v="Yes"/>
    <n v="4.5"/>
    <n v="6"/>
    <x v="0"/>
    <n v="4"/>
    <n v="8"/>
  </r>
  <r>
    <n v="209"/>
    <x v="0"/>
    <x v="0"/>
    <x v="0"/>
    <x v="0"/>
    <x v="15"/>
    <x v="0"/>
    <s v="Yes"/>
    <n v="7.8"/>
    <n v="5"/>
    <x v="1"/>
    <n v="3"/>
    <n v="7"/>
  </r>
  <r>
    <n v="210"/>
    <x v="4"/>
    <x v="1"/>
    <x v="1"/>
    <x v="1"/>
    <x v="4"/>
    <x v="4"/>
    <s v="No"/>
    <n v="8.6"/>
    <n v="7"/>
    <x v="0"/>
    <n v="2"/>
    <n v="6"/>
  </r>
  <r>
    <n v="211"/>
    <x v="2"/>
    <x v="0"/>
    <x v="0"/>
    <x v="106"/>
    <x v="40"/>
    <x v="2"/>
    <s v="Yes"/>
    <n v="4.4000000000000004"/>
    <n v="6"/>
    <x v="1"/>
    <n v="4"/>
    <n v="8"/>
  </r>
  <r>
    <n v="212"/>
    <x v="1"/>
    <x v="1"/>
    <x v="1"/>
    <x v="105"/>
    <x v="36"/>
    <x v="0"/>
    <s v="Yes"/>
    <n v="7.9"/>
    <n v="5"/>
    <x v="0"/>
    <n v="3"/>
    <n v="7"/>
  </r>
  <r>
    <n v="213"/>
    <x v="0"/>
    <x v="0"/>
    <x v="0"/>
    <x v="108"/>
    <x v="44"/>
    <x v="4"/>
    <s v="No"/>
    <n v="8.6999999999999993"/>
    <n v="7"/>
    <x v="1"/>
    <n v="2"/>
    <n v="5"/>
  </r>
  <r>
    <n v="214"/>
    <x v="4"/>
    <x v="1"/>
    <x v="1"/>
    <x v="109"/>
    <x v="38"/>
    <x v="2"/>
    <s v="Yes"/>
    <n v="4.3"/>
    <n v="6"/>
    <x v="0"/>
    <n v="4"/>
    <n v="8"/>
  </r>
  <r>
    <n v="215"/>
    <x v="2"/>
    <x v="0"/>
    <x v="0"/>
    <x v="0"/>
    <x v="45"/>
    <x v="0"/>
    <s v="Yes"/>
    <n v="8"/>
    <n v="5"/>
    <x v="1"/>
    <n v="3"/>
    <n v="7"/>
  </r>
  <r>
    <n v="216"/>
    <x v="1"/>
    <x v="1"/>
    <x v="1"/>
    <x v="1"/>
    <x v="27"/>
    <x v="4"/>
    <s v="No"/>
    <n v="8.8000000000000007"/>
    <n v="7"/>
    <x v="0"/>
    <n v="2"/>
    <n v="6"/>
  </r>
  <r>
    <n v="217"/>
    <x v="0"/>
    <x v="0"/>
    <x v="0"/>
    <x v="106"/>
    <x v="47"/>
    <x v="2"/>
    <s v="Yes"/>
    <n v="4.2"/>
    <n v="6"/>
    <x v="1"/>
    <n v="4"/>
    <n v="8"/>
  </r>
  <r>
    <n v="218"/>
    <x v="4"/>
    <x v="1"/>
    <x v="1"/>
    <x v="105"/>
    <x v="26"/>
    <x v="0"/>
    <s v="Yes"/>
    <n v="8.1"/>
    <n v="5"/>
    <x v="0"/>
    <n v="3"/>
    <n v="7"/>
  </r>
  <r>
    <n v="219"/>
    <x v="2"/>
    <x v="0"/>
    <x v="0"/>
    <x v="108"/>
    <x v="15"/>
    <x v="4"/>
    <s v="No"/>
    <n v="8.9"/>
    <n v="7"/>
    <x v="1"/>
    <n v="2"/>
    <n v="5"/>
  </r>
  <r>
    <n v="220"/>
    <x v="1"/>
    <x v="1"/>
    <x v="1"/>
    <x v="109"/>
    <x v="4"/>
    <x v="2"/>
    <s v="Yes"/>
    <n v="4.0999999999999996"/>
    <n v="6"/>
    <x v="0"/>
    <n v="4"/>
    <n v="8"/>
  </r>
  <r>
    <n v="221"/>
    <x v="0"/>
    <x v="0"/>
    <x v="0"/>
    <x v="2"/>
    <x v="13"/>
    <x v="0"/>
    <s v="Yes"/>
    <n v="6"/>
    <n v="5"/>
    <x v="1"/>
    <n v="4"/>
    <n v="9"/>
  </r>
  <r>
    <n v="222"/>
    <x v="4"/>
    <x v="1"/>
    <x v="1"/>
    <x v="3"/>
    <x v="7"/>
    <x v="2"/>
    <s v="Yes"/>
    <n v="6.5"/>
    <n v="6"/>
    <x v="0"/>
    <n v="3"/>
    <n v="7"/>
  </r>
  <r>
    <n v="223"/>
    <x v="2"/>
    <x v="0"/>
    <x v="0"/>
    <x v="5"/>
    <x v="4"/>
    <x v="0"/>
    <s v="No"/>
    <n v="7.5"/>
    <n v="8"/>
    <x v="1"/>
    <n v="2"/>
    <n v="5"/>
  </r>
  <r>
    <n v="224"/>
    <x v="1"/>
    <x v="1"/>
    <x v="1"/>
    <x v="6"/>
    <x v="15"/>
    <x v="4"/>
    <s v="No"/>
    <n v="7.8"/>
    <n v="7"/>
    <x v="0"/>
    <n v="2"/>
    <n v="4"/>
  </r>
  <r>
    <n v="225"/>
    <x v="0"/>
    <x v="0"/>
    <x v="0"/>
    <x v="8"/>
    <x v="26"/>
    <x v="7"/>
    <s v="No"/>
    <n v="7.9"/>
    <n v="8"/>
    <x v="1"/>
    <n v="1"/>
    <n v="3"/>
  </r>
  <r>
    <n v="226"/>
    <x v="4"/>
    <x v="1"/>
    <x v="1"/>
    <x v="12"/>
    <x v="11"/>
    <x v="0"/>
    <s v="Yes"/>
    <n v="6.8"/>
    <n v="6"/>
    <x v="1"/>
    <n v="3"/>
    <n v="7"/>
  </r>
  <r>
    <n v="227"/>
    <x v="2"/>
    <x v="0"/>
    <x v="0"/>
    <x v="9"/>
    <x v="0"/>
    <x v="8"/>
    <s v="Yes"/>
    <n v="6.5"/>
    <n v="6"/>
    <x v="0"/>
    <n v="3"/>
    <n v="6"/>
  </r>
  <r>
    <n v="228"/>
    <x v="1"/>
    <x v="1"/>
    <x v="1"/>
    <x v="14"/>
    <x v="10"/>
    <x v="9"/>
    <s v="No"/>
    <n v="7.2"/>
    <n v="7"/>
    <x v="1"/>
    <n v="2"/>
    <n v="5"/>
  </r>
  <r>
    <n v="229"/>
    <x v="0"/>
    <x v="0"/>
    <x v="0"/>
    <x v="2"/>
    <x v="48"/>
    <x v="2"/>
    <s v="Yes"/>
    <n v="5.8"/>
    <n v="4"/>
    <x v="0"/>
    <n v="4"/>
    <n v="9"/>
  </r>
  <r>
    <n v="230"/>
    <x v="4"/>
    <x v="1"/>
    <x v="1"/>
    <x v="3"/>
    <x v="11"/>
    <x v="0"/>
    <s v="Yes"/>
    <n v="6.7"/>
    <n v="6"/>
    <x v="1"/>
    <n v="3"/>
    <n v="7"/>
  </r>
  <r>
    <n v="231"/>
    <x v="2"/>
    <x v="0"/>
    <x v="0"/>
    <x v="5"/>
    <x v="19"/>
    <x v="4"/>
    <s v="No"/>
    <n v="7.4"/>
    <n v="7"/>
    <x v="0"/>
    <n v="2"/>
    <n v="5"/>
  </r>
  <r>
    <n v="232"/>
    <x v="1"/>
    <x v="1"/>
    <x v="1"/>
    <x v="6"/>
    <x v="8"/>
    <x v="0"/>
    <s v="No"/>
    <n v="7.9"/>
    <n v="8"/>
    <x v="1"/>
    <n v="1"/>
    <n v="4"/>
  </r>
  <r>
    <n v="233"/>
    <x v="0"/>
    <x v="0"/>
    <x v="0"/>
    <x v="8"/>
    <x v="18"/>
    <x v="7"/>
    <s v="No"/>
    <n v="8"/>
    <n v="8"/>
    <x v="1"/>
    <n v="1"/>
    <n v="3"/>
  </r>
  <r>
    <n v="234"/>
    <x v="4"/>
    <x v="1"/>
    <x v="1"/>
    <x v="12"/>
    <x v="23"/>
    <x v="2"/>
    <s v="Yes"/>
    <n v="6.5"/>
    <n v="5"/>
    <x v="0"/>
    <n v="3"/>
    <n v="8"/>
  </r>
  <r>
    <n v="235"/>
    <x v="2"/>
    <x v="0"/>
    <x v="0"/>
    <x v="9"/>
    <x v="17"/>
    <x v="8"/>
    <s v="Yes"/>
    <n v="6.8"/>
    <n v="6"/>
    <x v="1"/>
    <n v="3"/>
    <n v="6"/>
  </r>
  <r>
    <n v="236"/>
    <x v="1"/>
    <x v="1"/>
    <x v="1"/>
    <x v="14"/>
    <x v="4"/>
    <x v="9"/>
    <s v="No"/>
    <n v="7.4"/>
    <n v="7"/>
    <x v="0"/>
    <n v="2"/>
    <n v="5"/>
  </r>
  <r>
    <n v="237"/>
    <x v="0"/>
    <x v="0"/>
    <x v="0"/>
    <x v="2"/>
    <x v="49"/>
    <x v="0"/>
    <s v="Yes"/>
    <n v="5.9"/>
    <n v="4"/>
    <x v="1"/>
    <n v="4"/>
    <n v="9"/>
  </r>
  <r>
    <n v="238"/>
    <x v="4"/>
    <x v="1"/>
    <x v="1"/>
    <x v="3"/>
    <x v="33"/>
    <x v="4"/>
    <s v="Yes"/>
    <n v="6.6"/>
    <n v="6"/>
    <x v="0"/>
    <n v="3"/>
    <n v="7"/>
  </r>
  <r>
    <n v="239"/>
    <x v="2"/>
    <x v="0"/>
    <x v="0"/>
    <x v="5"/>
    <x v="38"/>
    <x v="0"/>
    <s v="No"/>
    <n v="7.3"/>
    <n v="7"/>
    <x v="1"/>
    <n v="2"/>
    <n v="5"/>
  </r>
  <r>
    <n v="240"/>
    <x v="1"/>
    <x v="1"/>
    <x v="1"/>
    <x v="6"/>
    <x v="45"/>
    <x v="4"/>
    <s v="No"/>
    <n v="7.7"/>
    <n v="8"/>
    <x v="0"/>
    <n v="2"/>
    <n v="4"/>
  </r>
  <r>
    <n v="241"/>
    <x v="0"/>
    <x v="0"/>
    <x v="0"/>
    <x v="8"/>
    <x v="14"/>
    <x v="7"/>
    <s v="No"/>
    <n v="7.8"/>
    <n v="8"/>
    <x v="1"/>
    <n v="1"/>
    <n v="3"/>
  </r>
  <r>
    <n v="242"/>
    <x v="4"/>
    <x v="1"/>
    <x v="1"/>
    <x v="12"/>
    <x v="31"/>
    <x v="0"/>
    <s v="Yes"/>
    <n v="6.7"/>
    <n v="5"/>
    <x v="1"/>
    <n v="3"/>
    <n v="7"/>
  </r>
  <r>
    <n v="243"/>
    <x v="2"/>
    <x v="0"/>
    <x v="0"/>
    <x v="9"/>
    <x v="43"/>
    <x v="8"/>
    <s v="Yes"/>
    <n v="6.6"/>
    <n v="6"/>
    <x v="0"/>
    <n v="3"/>
    <n v="6"/>
  </r>
  <r>
    <n v="244"/>
    <x v="1"/>
    <x v="1"/>
    <x v="1"/>
    <x v="14"/>
    <x v="19"/>
    <x v="9"/>
    <s v="No"/>
    <n v="7.3"/>
    <n v="7"/>
    <x v="1"/>
    <n v="2"/>
    <n v="5"/>
  </r>
  <r>
    <n v="245"/>
    <x v="0"/>
    <x v="0"/>
    <x v="0"/>
    <x v="2"/>
    <x v="50"/>
    <x v="2"/>
    <s v="Yes"/>
    <n v="5.7"/>
    <n v="4"/>
    <x v="0"/>
    <n v="4"/>
    <n v="9"/>
  </r>
  <r>
    <n v="246"/>
    <x v="4"/>
    <x v="1"/>
    <x v="1"/>
    <x v="3"/>
    <x v="23"/>
    <x v="0"/>
    <s v="Yes"/>
    <n v="6.4"/>
    <n v="6"/>
    <x v="1"/>
    <n v="3"/>
    <n v="7"/>
  </r>
  <r>
    <n v="247"/>
    <x v="2"/>
    <x v="0"/>
    <x v="0"/>
    <x v="5"/>
    <x v="10"/>
    <x v="4"/>
    <s v="No"/>
    <n v="7.2"/>
    <n v="7"/>
    <x v="0"/>
    <n v="2"/>
    <n v="5"/>
  </r>
  <r>
    <n v="248"/>
    <x v="1"/>
    <x v="1"/>
    <x v="1"/>
    <x v="6"/>
    <x v="36"/>
    <x v="0"/>
    <s v="No"/>
    <n v="7.8"/>
    <n v="8"/>
    <x v="1"/>
    <n v="1"/>
    <n v="4"/>
  </r>
  <r>
    <n v="249"/>
    <x v="0"/>
    <x v="0"/>
    <x v="0"/>
    <x v="8"/>
    <x v="30"/>
    <x v="7"/>
    <s v="No"/>
    <n v="8.1"/>
    <n v="8"/>
    <x v="1"/>
    <n v="1"/>
    <n v="3"/>
  </r>
  <r>
    <n v="250"/>
    <x v="4"/>
    <x v="1"/>
    <x v="1"/>
    <x v="12"/>
    <x v="33"/>
    <x v="2"/>
    <s v="Yes"/>
    <n v="6.6"/>
    <n v="5"/>
    <x v="0"/>
    <n v="3"/>
    <n v="8"/>
  </r>
  <r>
    <n v="251"/>
    <x v="2"/>
    <x v="0"/>
    <x v="0"/>
    <x v="9"/>
    <x v="22"/>
    <x v="8"/>
    <s v="Yes"/>
    <n v="6.9"/>
    <n v="6"/>
    <x v="1"/>
    <n v="3"/>
    <n v="6"/>
  </r>
  <r>
    <n v="252"/>
    <x v="1"/>
    <x v="1"/>
    <x v="1"/>
    <x v="14"/>
    <x v="38"/>
    <x v="9"/>
    <s v="No"/>
    <n v="7.5"/>
    <n v="7"/>
    <x v="0"/>
    <n v="2"/>
    <n v="5"/>
  </r>
  <r>
    <n v="253"/>
    <x v="0"/>
    <x v="0"/>
    <x v="0"/>
    <x v="2"/>
    <x v="51"/>
    <x v="0"/>
    <s v="Yes"/>
    <n v="5.8"/>
    <n v="4"/>
    <x v="1"/>
    <n v="4"/>
    <n v="9"/>
  </r>
  <r>
    <n v="254"/>
    <x v="4"/>
    <x v="1"/>
    <x v="1"/>
    <x v="3"/>
    <x v="31"/>
    <x v="4"/>
    <s v="Yes"/>
    <n v="6.5"/>
    <n v="6"/>
    <x v="0"/>
    <n v="3"/>
    <n v="7"/>
  </r>
  <r>
    <n v="255"/>
    <x v="2"/>
    <x v="0"/>
    <x v="0"/>
    <x v="5"/>
    <x v="27"/>
    <x v="0"/>
    <s v="No"/>
    <n v="7.4"/>
    <n v="7"/>
    <x v="1"/>
    <n v="2"/>
    <n v="5"/>
  </r>
  <r>
    <n v="256"/>
    <x v="1"/>
    <x v="1"/>
    <x v="1"/>
    <x v="6"/>
    <x v="8"/>
    <x v="4"/>
    <s v="No"/>
    <n v="7.6"/>
    <n v="8"/>
    <x v="0"/>
    <n v="2"/>
    <n v="4"/>
  </r>
  <r>
    <n v="257"/>
    <x v="0"/>
    <x v="0"/>
    <x v="0"/>
    <x v="8"/>
    <x v="46"/>
    <x v="7"/>
    <s v="No"/>
    <n v="8.1999999999999993"/>
    <n v="8"/>
    <x v="1"/>
    <n v="1"/>
    <n v="3"/>
  </r>
  <r>
    <n v="258"/>
    <x v="4"/>
    <x v="1"/>
    <x v="1"/>
    <x v="12"/>
    <x v="20"/>
    <x v="0"/>
    <s v="Yes"/>
    <n v="6.8"/>
    <n v="5"/>
    <x v="1"/>
    <n v="3"/>
    <n v="7"/>
  </r>
  <r>
    <n v="259"/>
    <x v="2"/>
    <x v="0"/>
    <x v="0"/>
    <x v="9"/>
    <x v="17"/>
    <x v="8"/>
    <s v="Yes"/>
    <n v="6.7"/>
    <n v="6"/>
    <x v="0"/>
    <n v="3"/>
    <n v="6"/>
  </r>
  <r>
    <n v="260"/>
    <x v="1"/>
    <x v="1"/>
    <x v="1"/>
    <x v="14"/>
    <x v="27"/>
    <x v="9"/>
    <s v="No"/>
    <n v="7.6"/>
    <n v="7"/>
    <x v="1"/>
    <n v="2"/>
    <n v="5"/>
  </r>
  <r>
    <n v="261"/>
    <x v="0"/>
    <x v="0"/>
    <x v="0"/>
    <x v="2"/>
    <x v="52"/>
    <x v="2"/>
    <s v="Yes"/>
    <n v="5.6"/>
    <n v="4"/>
    <x v="0"/>
    <n v="4"/>
    <n v="9"/>
  </r>
  <r>
    <n v="262"/>
    <x v="4"/>
    <x v="1"/>
    <x v="1"/>
    <x v="3"/>
    <x v="20"/>
    <x v="0"/>
    <s v="Yes"/>
    <n v="6.3"/>
    <n v="6"/>
    <x v="1"/>
    <n v="3"/>
    <n v="7"/>
  </r>
  <r>
    <n v="263"/>
    <x v="2"/>
    <x v="0"/>
    <x v="0"/>
    <x v="5"/>
    <x v="44"/>
    <x v="4"/>
    <s v="No"/>
    <n v="7.5"/>
    <n v="7"/>
    <x v="0"/>
    <n v="2"/>
    <n v="5"/>
  </r>
  <r>
    <n v="264"/>
    <x v="1"/>
    <x v="1"/>
    <x v="1"/>
    <x v="6"/>
    <x v="26"/>
    <x v="0"/>
    <s v="No"/>
    <n v="7.7"/>
    <n v="8"/>
    <x v="1"/>
    <n v="1"/>
    <n v="4"/>
  </r>
  <r>
    <n v="265"/>
    <x v="0"/>
    <x v="0"/>
    <x v="0"/>
    <x v="8"/>
    <x v="9"/>
    <x v="7"/>
    <s v="No"/>
    <n v="8.3000000000000007"/>
    <n v="8"/>
    <x v="1"/>
    <n v="1"/>
    <n v="3"/>
  </r>
  <r>
    <n v="266"/>
    <x v="4"/>
    <x v="1"/>
    <x v="1"/>
    <x v="12"/>
    <x v="0"/>
    <x v="2"/>
    <s v="Yes"/>
    <n v="6.9"/>
    <n v="5"/>
    <x v="0"/>
    <n v="3"/>
    <n v="8"/>
  </r>
  <r>
    <n v="267"/>
    <x v="2"/>
    <x v="0"/>
    <x v="0"/>
    <x v="9"/>
    <x v="10"/>
    <x v="8"/>
    <s v="Yes"/>
    <n v="7"/>
    <n v="6"/>
    <x v="1"/>
    <n v="3"/>
    <n v="6"/>
  </r>
  <r>
    <n v="268"/>
    <x v="1"/>
    <x v="1"/>
    <x v="1"/>
    <x v="14"/>
    <x v="44"/>
    <x v="9"/>
    <s v="No"/>
    <n v="7.7"/>
    <n v="7"/>
    <x v="0"/>
    <n v="2"/>
    <n v="5"/>
  </r>
  <r>
    <n v="269"/>
    <x v="0"/>
    <x v="0"/>
    <x v="0"/>
    <x v="2"/>
    <x v="47"/>
    <x v="0"/>
    <s v="Yes"/>
    <n v="5.7"/>
    <n v="4"/>
    <x v="1"/>
    <n v="4"/>
    <n v="9"/>
  </r>
  <r>
    <n v="270"/>
    <x v="4"/>
    <x v="1"/>
    <x v="1"/>
    <x v="3"/>
    <x v="0"/>
    <x v="4"/>
    <s v="Yes"/>
    <n v="6.4"/>
    <n v="6"/>
    <x v="0"/>
    <n v="3"/>
    <n v="7"/>
  </r>
  <r>
    <n v="271"/>
    <x v="2"/>
    <x v="0"/>
    <x v="0"/>
    <x v="5"/>
    <x v="4"/>
    <x v="0"/>
    <s v="No"/>
    <n v="7.3"/>
    <n v="7"/>
    <x v="1"/>
    <n v="2"/>
    <n v="5"/>
  </r>
  <r>
    <n v="272"/>
    <x v="1"/>
    <x v="1"/>
    <x v="1"/>
    <x v="6"/>
    <x v="14"/>
    <x v="4"/>
    <s v="No"/>
    <n v="7.8"/>
    <n v="8"/>
    <x v="0"/>
    <n v="1"/>
    <n v="4"/>
  </r>
  <r>
    <n v="273"/>
    <x v="0"/>
    <x v="0"/>
    <x v="0"/>
    <x v="8"/>
    <x v="24"/>
    <x v="7"/>
    <s v="No"/>
    <n v="8.4"/>
    <n v="8"/>
    <x v="1"/>
    <n v="1"/>
    <n v="3"/>
  </r>
  <r>
    <n v="274"/>
    <x v="4"/>
    <x v="1"/>
    <x v="1"/>
    <x v="12"/>
    <x v="31"/>
    <x v="0"/>
    <s v="Yes"/>
    <n v="6.7"/>
    <n v="5"/>
    <x v="1"/>
    <n v="3"/>
    <n v="7"/>
  </r>
  <r>
    <n v="275"/>
    <x v="2"/>
    <x v="0"/>
    <x v="0"/>
    <x v="9"/>
    <x v="19"/>
    <x v="8"/>
    <s v="Yes"/>
    <n v="7.1"/>
    <n v="6"/>
    <x v="0"/>
    <n v="3"/>
    <n v="6"/>
  </r>
  <r>
    <n v="276"/>
    <x v="1"/>
    <x v="1"/>
    <x v="1"/>
    <x v="14"/>
    <x v="15"/>
    <x v="9"/>
    <s v="No"/>
    <n v="7.8"/>
    <n v="7"/>
    <x v="1"/>
    <n v="2"/>
    <n v="5"/>
  </r>
  <r>
    <n v="277"/>
    <x v="0"/>
    <x v="0"/>
    <x v="0"/>
    <x v="2"/>
    <x v="52"/>
    <x v="2"/>
    <s v="Yes"/>
    <n v="5.5"/>
    <n v="4"/>
    <x v="0"/>
    <n v="4"/>
    <n v="9"/>
  </r>
  <r>
    <n v="278"/>
    <x v="4"/>
    <x v="1"/>
    <x v="1"/>
    <x v="3"/>
    <x v="43"/>
    <x v="0"/>
    <s v="Yes"/>
    <n v="6.5"/>
    <n v="6"/>
    <x v="1"/>
    <n v="3"/>
    <n v="7"/>
  </r>
  <r>
    <n v="279"/>
    <x v="2"/>
    <x v="0"/>
    <x v="0"/>
    <x v="5"/>
    <x v="27"/>
    <x v="4"/>
    <s v="No"/>
    <n v="7.4"/>
    <n v="7"/>
    <x v="0"/>
    <n v="2"/>
    <n v="5"/>
  </r>
  <r>
    <n v="280"/>
    <x v="1"/>
    <x v="1"/>
    <x v="1"/>
    <x v="6"/>
    <x v="30"/>
    <x v="0"/>
    <s v="No"/>
    <n v="7.9"/>
    <n v="8"/>
    <x v="1"/>
    <n v="1"/>
    <n v="4"/>
  </r>
  <r>
    <n v="281"/>
    <x v="0"/>
    <x v="0"/>
    <x v="0"/>
    <x v="8"/>
    <x v="34"/>
    <x v="7"/>
    <s v="No"/>
    <n v="8.5"/>
    <n v="8"/>
    <x v="1"/>
    <n v="1"/>
    <n v="3"/>
  </r>
  <r>
    <n v="282"/>
    <x v="4"/>
    <x v="1"/>
    <x v="1"/>
    <x v="12"/>
    <x v="20"/>
    <x v="2"/>
    <s v="Yes"/>
    <n v="6.8"/>
    <n v="5"/>
    <x v="0"/>
    <n v="3"/>
    <n v="8"/>
  </r>
  <r>
    <n v="283"/>
    <x v="2"/>
    <x v="0"/>
    <x v="0"/>
    <x v="9"/>
    <x v="38"/>
    <x v="8"/>
    <s v="Yes"/>
    <n v="7.2"/>
    <n v="6"/>
    <x v="1"/>
    <n v="3"/>
    <n v="6"/>
  </r>
  <r>
    <n v="284"/>
    <x v="1"/>
    <x v="1"/>
    <x v="1"/>
    <x v="14"/>
    <x v="45"/>
    <x v="9"/>
    <s v="No"/>
    <n v="7.9"/>
    <n v="7"/>
    <x v="0"/>
    <n v="2"/>
    <n v="5"/>
  </r>
  <r>
    <n v="285"/>
    <x v="0"/>
    <x v="0"/>
    <x v="0"/>
    <x v="2"/>
    <x v="51"/>
    <x v="0"/>
    <s v="Yes"/>
    <n v="5.4"/>
    <n v="4"/>
    <x v="1"/>
    <n v="4"/>
    <n v="9"/>
  </r>
  <r>
    <n v="286"/>
    <x v="4"/>
    <x v="1"/>
    <x v="1"/>
    <x v="3"/>
    <x v="17"/>
    <x v="4"/>
    <s v="Yes"/>
    <n v="6.6"/>
    <n v="6"/>
    <x v="0"/>
    <n v="3"/>
    <n v="7"/>
  </r>
  <r>
    <n v="287"/>
    <x v="2"/>
    <x v="0"/>
    <x v="0"/>
    <x v="5"/>
    <x v="44"/>
    <x v="0"/>
    <s v="No"/>
    <n v="7.5"/>
    <n v="7"/>
    <x v="1"/>
    <n v="2"/>
    <n v="5"/>
  </r>
  <r>
    <n v="288"/>
    <x v="1"/>
    <x v="1"/>
    <x v="1"/>
    <x v="6"/>
    <x v="18"/>
    <x v="4"/>
    <s v="No"/>
    <n v="8"/>
    <n v="8"/>
    <x v="0"/>
    <n v="1"/>
    <n v="4"/>
  </r>
  <r>
    <n v="289"/>
    <x v="0"/>
    <x v="0"/>
    <x v="0"/>
    <x v="8"/>
    <x v="3"/>
    <x v="7"/>
    <s v="No"/>
    <n v="8.6"/>
    <n v="8"/>
    <x v="1"/>
    <n v="1"/>
    <n v="3"/>
  </r>
  <r>
    <n v="290"/>
    <x v="4"/>
    <x v="1"/>
    <x v="1"/>
    <x v="12"/>
    <x v="0"/>
    <x v="0"/>
    <s v="Yes"/>
    <n v="6.9"/>
    <n v="5"/>
    <x v="1"/>
    <n v="3"/>
    <n v="7"/>
  </r>
  <r>
    <n v="291"/>
    <x v="2"/>
    <x v="0"/>
    <x v="0"/>
    <x v="9"/>
    <x v="4"/>
    <x v="8"/>
    <s v="Yes"/>
    <n v="7.3"/>
    <n v="6"/>
    <x v="0"/>
    <n v="3"/>
    <n v="6"/>
  </r>
  <r>
    <n v="292"/>
    <x v="1"/>
    <x v="1"/>
    <x v="1"/>
    <x v="14"/>
    <x v="8"/>
    <x v="9"/>
    <s v="No"/>
    <n v="8"/>
    <n v="7"/>
    <x v="1"/>
    <n v="2"/>
    <n v="5"/>
  </r>
  <r>
    <n v="293"/>
    <x v="0"/>
    <x v="0"/>
    <x v="0"/>
    <x v="2"/>
    <x v="49"/>
    <x v="2"/>
    <s v="Yes"/>
    <n v="5.3"/>
    <n v="4"/>
    <x v="0"/>
    <n v="4"/>
    <n v="9"/>
  </r>
  <r>
    <n v="294"/>
    <x v="4"/>
    <x v="1"/>
    <x v="1"/>
    <x v="3"/>
    <x v="22"/>
    <x v="0"/>
    <s v="Yes"/>
    <n v="6.7"/>
    <n v="6"/>
    <x v="1"/>
    <n v="3"/>
    <n v="7"/>
  </r>
  <r>
    <n v="295"/>
    <x v="2"/>
    <x v="0"/>
    <x v="0"/>
    <x v="5"/>
    <x v="15"/>
    <x v="4"/>
    <s v="No"/>
    <n v="7.6"/>
    <n v="7"/>
    <x v="0"/>
    <n v="2"/>
    <n v="5"/>
  </r>
  <r>
    <n v="296"/>
    <x v="1"/>
    <x v="1"/>
    <x v="1"/>
    <x v="6"/>
    <x v="46"/>
    <x v="0"/>
    <s v="No"/>
    <n v="8.1"/>
    <n v="8"/>
    <x v="1"/>
    <n v="1"/>
    <n v="4"/>
  </r>
  <r>
    <n v="297"/>
    <x v="0"/>
    <x v="0"/>
    <x v="0"/>
    <x v="8"/>
    <x v="42"/>
    <x v="7"/>
    <s v="No"/>
    <n v="8.6999999999999993"/>
    <n v="8"/>
    <x v="1"/>
    <n v="1"/>
    <n v="3"/>
  </r>
  <r>
    <n v="298"/>
    <x v="4"/>
    <x v="1"/>
    <x v="1"/>
    <x v="12"/>
    <x v="43"/>
    <x v="2"/>
    <s v="Yes"/>
    <n v="7"/>
    <n v="5"/>
    <x v="0"/>
    <n v="3"/>
    <n v="8"/>
  </r>
  <r>
    <n v="299"/>
    <x v="2"/>
    <x v="0"/>
    <x v="0"/>
    <x v="9"/>
    <x v="27"/>
    <x v="8"/>
    <s v="Yes"/>
    <n v="7.4"/>
    <n v="6"/>
    <x v="1"/>
    <n v="3"/>
    <n v="6"/>
  </r>
  <r>
    <n v="300"/>
    <x v="1"/>
    <x v="1"/>
    <x v="1"/>
    <x v="14"/>
    <x v="36"/>
    <x v="9"/>
    <s v="No"/>
    <n v="8.1"/>
    <n v="7"/>
    <x v="0"/>
    <n v="2"/>
    <n v="5"/>
  </r>
  <r>
    <n v="301"/>
    <x v="0"/>
    <x v="0"/>
    <x v="0"/>
    <x v="2"/>
    <x v="50"/>
    <x v="0"/>
    <s v="Yes"/>
    <n v="5.2"/>
    <n v="4"/>
    <x v="1"/>
    <n v="4"/>
    <n v="9"/>
  </r>
  <r>
    <n v="302"/>
    <x v="4"/>
    <x v="1"/>
    <x v="1"/>
    <x v="3"/>
    <x v="10"/>
    <x v="4"/>
    <s v="Yes"/>
    <n v="6.8"/>
    <n v="6"/>
    <x v="0"/>
    <n v="3"/>
    <n v="7"/>
  </r>
  <r>
    <n v="303"/>
    <x v="2"/>
    <x v="0"/>
    <x v="0"/>
    <x v="5"/>
    <x v="45"/>
    <x v="0"/>
    <s v="No"/>
    <n v="7.7"/>
    <n v="7"/>
    <x v="1"/>
    <n v="2"/>
    <n v="5"/>
  </r>
  <r>
    <n v="304"/>
    <x v="1"/>
    <x v="1"/>
    <x v="1"/>
    <x v="6"/>
    <x v="9"/>
    <x v="4"/>
    <s v="No"/>
    <n v="8.1999999999999993"/>
    <n v="8"/>
    <x v="0"/>
    <n v="1"/>
    <n v="4"/>
  </r>
  <r>
    <n v="305"/>
    <x v="0"/>
    <x v="0"/>
    <x v="0"/>
    <x v="8"/>
    <x v="12"/>
    <x v="7"/>
    <s v="No"/>
    <n v="8.8000000000000007"/>
    <n v="8"/>
    <x v="1"/>
    <n v="1"/>
    <n v="3"/>
  </r>
  <r>
    <n v="306"/>
    <x v="4"/>
    <x v="1"/>
    <x v="1"/>
    <x v="12"/>
    <x v="17"/>
    <x v="0"/>
    <s v="Yes"/>
    <n v="7.1"/>
    <n v="5"/>
    <x v="1"/>
    <n v="3"/>
    <n v="7"/>
  </r>
  <r>
    <n v="307"/>
    <x v="2"/>
    <x v="0"/>
    <x v="0"/>
    <x v="9"/>
    <x v="44"/>
    <x v="8"/>
    <s v="Yes"/>
    <n v="7.5"/>
    <n v="6"/>
    <x v="0"/>
    <n v="3"/>
    <n v="6"/>
  </r>
  <r>
    <n v="308"/>
    <x v="1"/>
    <x v="1"/>
    <x v="1"/>
    <x v="14"/>
    <x v="26"/>
    <x v="9"/>
    <s v="No"/>
    <n v="8.1999999999999993"/>
    <n v="7"/>
    <x v="1"/>
    <n v="2"/>
    <n v="5"/>
  </r>
  <r>
    <n v="309"/>
    <x v="0"/>
    <x v="0"/>
    <x v="0"/>
    <x v="2"/>
    <x v="48"/>
    <x v="2"/>
    <s v="Yes"/>
    <n v="5.0999999999999996"/>
    <n v="4"/>
    <x v="0"/>
    <n v="4"/>
    <n v="9"/>
  </r>
  <r>
    <n v="310"/>
    <x v="4"/>
    <x v="1"/>
    <x v="1"/>
    <x v="3"/>
    <x v="19"/>
    <x v="0"/>
    <s v="Yes"/>
    <n v="6.9"/>
    <n v="6"/>
    <x v="1"/>
    <n v="3"/>
    <n v="7"/>
  </r>
  <r>
    <n v="311"/>
    <x v="2"/>
    <x v="0"/>
    <x v="0"/>
    <x v="5"/>
    <x v="8"/>
    <x v="4"/>
    <s v="No"/>
    <n v="7.8"/>
    <n v="7"/>
    <x v="0"/>
    <n v="2"/>
    <n v="5"/>
  </r>
  <r>
    <n v="312"/>
    <x v="1"/>
    <x v="1"/>
    <x v="1"/>
    <x v="6"/>
    <x v="24"/>
    <x v="0"/>
    <s v="No"/>
    <n v="8.3000000000000007"/>
    <n v="8"/>
    <x v="1"/>
    <n v="1"/>
    <n v="4"/>
  </r>
  <r>
    <n v="313"/>
    <x v="0"/>
    <x v="0"/>
    <x v="0"/>
    <x v="8"/>
    <x v="39"/>
    <x v="7"/>
    <s v="No"/>
    <n v="8.9"/>
    <n v="8"/>
    <x v="1"/>
    <n v="1"/>
    <n v="3"/>
  </r>
  <r>
    <n v="314"/>
    <x v="4"/>
    <x v="1"/>
    <x v="1"/>
    <x v="12"/>
    <x v="22"/>
    <x v="2"/>
    <s v="Yes"/>
    <n v="7.2"/>
    <n v="5"/>
    <x v="0"/>
    <n v="3"/>
    <n v="8"/>
  </r>
  <r>
    <n v="315"/>
    <x v="2"/>
    <x v="0"/>
    <x v="0"/>
    <x v="9"/>
    <x v="15"/>
    <x v="8"/>
    <s v="Yes"/>
    <n v="7.6"/>
    <n v="6"/>
    <x v="1"/>
    <n v="3"/>
    <n v="6"/>
  </r>
  <r>
    <n v="316"/>
    <x v="1"/>
    <x v="1"/>
    <x v="1"/>
    <x v="14"/>
    <x v="14"/>
    <x v="9"/>
    <s v="No"/>
    <n v="8.3000000000000007"/>
    <n v="7"/>
    <x v="0"/>
    <n v="2"/>
    <n v="5"/>
  </r>
  <r>
    <n v="317"/>
    <x v="0"/>
    <x v="0"/>
    <x v="0"/>
    <x v="2"/>
    <x v="53"/>
    <x v="0"/>
    <s v="Yes"/>
    <n v="5"/>
    <n v="4"/>
    <x v="1"/>
    <n v="4"/>
    <n v="9"/>
  </r>
  <r>
    <n v="318"/>
    <x v="4"/>
    <x v="1"/>
    <x v="1"/>
    <x v="3"/>
    <x v="38"/>
    <x v="4"/>
    <s v="Yes"/>
    <n v="7"/>
    <n v="6"/>
    <x v="0"/>
    <n v="3"/>
    <n v="7"/>
  </r>
  <r>
    <n v="319"/>
    <x v="2"/>
    <x v="0"/>
    <x v="0"/>
    <x v="5"/>
    <x v="36"/>
    <x v="0"/>
    <s v="No"/>
    <n v="7.9"/>
    <n v="7"/>
    <x v="1"/>
    <n v="2"/>
    <n v="5"/>
  </r>
  <r>
    <n v="320"/>
    <x v="1"/>
    <x v="1"/>
    <x v="1"/>
    <x v="6"/>
    <x v="34"/>
    <x v="4"/>
    <s v="No"/>
    <n v="8.4"/>
    <n v="8"/>
    <x v="0"/>
    <n v="1"/>
    <n v="4"/>
  </r>
  <r>
    <n v="321"/>
    <x v="0"/>
    <x v="0"/>
    <x v="0"/>
    <x v="11"/>
    <x v="0"/>
    <x v="0"/>
    <s v="Yes"/>
    <n v="6.8"/>
    <n v="6"/>
    <x v="1"/>
    <n v="3"/>
    <n v="7"/>
  </r>
  <r>
    <n v="322"/>
    <x v="4"/>
    <x v="1"/>
    <x v="1"/>
    <x v="18"/>
    <x v="45"/>
    <x v="4"/>
    <s v="No"/>
    <n v="7.8"/>
    <n v="8"/>
    <x v="0"/>
    <n v="2"/>
    <n v="4"/>
  </r>
  <r>
    <n v="323"/>
    <x v="2"/>
    <x v="0"/>
    <x v="0"/>
    <x v="25"/>
    <x v="17"/>
    <x v="0"/>
    <s v="Yes"/>
    <n v="7"/>
    <n v="7"/>
    <x v="1"/>
    <n v="3"/>
    <n v="6"/>
  </r>
  <r>
    <n v="324"/>
    <x v="1"/>
    <x v="1"/>
    <x v="1"/>
    <x v="1"/>
    <x v="7"/>
    <x v="10"/>
    <s v="Yes"/>
    <n v="6.5"/>
    <n v="5"/>
    <x v="0"/>
    <n v="4"/>
    <n v="8"/>
  </r>
  <r>
    <n v="325"/>
    <x v="0"/>
    <x v="0"/>
    <x v="0"/>
    <x v="21"/>
    <x v="8"/>
    <x v="0"/>
    <s v="No"/>
    <n v="7.9"/>
    <n v="8"/>
    <x v="1"/>
    <n v="2"/>
    <n v="4"/>
  </r>
  <r>
    <n v="326"/>
    <x v="4"/>
    <x v="1"/>
    <x v="1"/>
    <x v="35"/>
    <x v="11"/>
    <x v="0"/>
    <s v="Yes"/>
    <n v="6.7"/>
    <n v="6"/>
    <x v="1"/>
    <n v="3"/>
    <n v="7"/>
  </r>
  <r>
    <n v="327"/>
    <x v="2"/>
    <x v="0"/>
    <x v="0"/>
    <x v="2"/>
    <x v="49"/>
    <x v="2"/>
    <s v="Yes"/>
    <n v="5.5"/>
    <n v="5"/>
    <x v="0"/>
    <n v="4"/>
    <n v="9"/>
  </r>
  <r>
    <n v="328"/>
    <x v="1"/>
    <x v="1"/>
    <x v="1"/>
    <x v="13"/>
    <x v="33"/>
    <x v="10"/>
    <s v="Yes"/>
    <n v="6.6"/>
    <n v="6"/>
    <x v="1"/>
    <n v="3"/>
    <n v="7"/>
  </r>
  <r>
    <n v="329"/>
    <x v="0"/>
    <x v="0"/>
    <x v="0"/>
    <x v="10"/>
    <x v="4"/>
    <x v="0"/>
    <s v="No"/>
    <n v="7.5"/>
    <n v="7"/>
    <x v="0"/>
    <n v="2"/>
    <n v="5"/>
  </r>
  <r>
    <n v="330"/>
    <x v="4"/>
    <x v="1"/>
    <x v="1"/>
    <x v="4"/>
    <x v="20"/>
    <x v="0"/>
    <s v="Yes"/>
    <n v="6.9"/>
    <n v="6"/>
    <x v="1"/>
    <n v="3"/>
    <n v="7"/>
  </r>
  <r>
    <n v="331"/>
    <x v="2"/>
    <x v="0"/>
    <x v="0"/>
    <x v="11"/>
    <x v="43"/>
    <x v="2"/>
    <s v="Yes"/>
    <n v="6.7"/>
    <n v="6"/>
    <x v="1"/>
    <n v="3"/>
    <n v="7"/>
  </r>
  <r>
    <n v="332"/>
    <x v="1"/>
    <x v="1"/>
    <x v="1"/>
    <x v="18"/>
    <x v="36"/>
    <x v="4"/>
    <s v="No"/>
    <n v="7.9"/>
    <n v="8"/>
    <x v="0"/>
    <n v="2"/>
    <n v="4"/>
  </r>
  <r>
    <n v="333"/>
    <x v="0"/>
    <x v="0"/>
    <x v="0"/>
    <x v="25"/>
    <x v="10"/>
    <x v="0"/>
    <s v="Yes"/>
    <n v="7.1"/>
    <n v="7"/>
    <x v="1"/>
    <n v="3"/>
    <n v="6"/>
  </r>
  <r>
    <n v="334"/>
    <x v="4"/>
    <x v="1"/>
    <x v="1"/>
    <x v="1"/>
    <x v="29"/>
    <x v="10"/>
    <s v="Yes"/>
    <n v="6.4"/>
    <n v="5"/>
    <x v="0"/>
    <n v="4"/>
    <n v="8"/>
  </r>
  <r>
    <n v="335"/>
    <x v="2"/>
    <x v="0"/>
    <x v="0"/>
    <x v="21"/>
    <x v="26"/>
    <x v="0"/>
    <s v="No"/>
    <n v="8"/>
    <n v="8"/>
    <x v="1"/>
    <n v="2"/>
    <n v="4"/>
  </r>
  <r>
    <n v="336"/>
    <x v="1"/>
    <x v="1"/>
    <x v="1"/>
    <x v="35"/>
    <x v="31"/>
    <x v="2"/>
    <s v="Yes"/>
    <n v="6.8"/>
    <n v="6"/>
    <x v="1"/>
    <n v="3"/>
    <n v="7"/>
  </r>
  <r>
    <n v="337"/>
    <x v="0"/>
    <x v="0"/>
    <x v="0"/>
    <x v="2"/>
    <x v="50"/>
    <x v="0"/>
    <s v="Yes"/>
    <n v="5.4"/>
    <n v="5"/>
    <x v="0"/>
    <n v="4"/>
    <n v="9"/>
  </r>
  <r>
    <n v="338"/>
    <x v="4"/>
    <x v="1"/>
    <x v="1"/>
    <x v="13"/>
    <x v="23"/>
    <x v="10"/>
    <s v="Yes"/>
    <n v="6.5"/>
    <n v="6"/>
    <x v="1"/>
    <n v="3"/>
    <n v="7"/>
  </r>
  <r>
    <n v="339"/>
    <x v="2"/>
    <x v="0"/>
    <x v="0"/>
    <x v="10"/>
    <x v="27"/>
    <x v="0"/>
    <s v="No"/>
    <n v="7.6"/>
    <n v="7"/>
    <x v="0"/>
    <n v="2"/>
    <n v="5"/>
  </r>
  <r>
    <n v="340"/>
    <x v="1"/>
    <x v="1"/>
    <x v="1"/>
    <x v="4"/>
    <x v="0"/>
    <x v="2"/>
    <s v="Yes"/>
    <n v="7"/>
    <n v="6"/>
    <x v="1"/>
    <n v="3"/>
    <n v="7"/>
  </r>
  <r>
    <n v="341"/>
    <x v="0"/>
    <x v="0"/>
    <x v="0"/>
    <x v="11"/>
    <x v="17"/>
    <x v="0"/>
    <s v="Yes"/>
    <n v="6.9"/>
    <n v="6"/>
    <x v="1"/>
    <n v="3"/>
    <n v="7"/>
  </r>
  <r>
    <n v="342"/>
    <x v="4"/>
    <x v="1"/>
    <x v="1"/>
    <x v="18"/>
    <x v="26"/>
    <x v="4"/>
    <s v="No"/>
    <n v="8"/>
    <n v="8"/>
    <x v="0"/>
    <n v="2"/>
    <n v="4"/>
  </r>
  <r>
    <n v="343"/>
    <x v="2"/>
    <x v="0"/>
    <x v="0"/>
    <x v="25"/>
    <x v="19"/>
    <x v="2"/>
    <s v="Yes"/>
    <n v="7.2"/>
    <n v="7"/>
    <x v="1"/>
    <n v="3"/>
    <n v="6"/>
  </r>
  <r>
    <n v="344"/>
    <x v="1"/>
    <x v="1"/>
    <x v="1"/>
    <x v="1"/>
    <x v="2"/>
    <x v="10"/>
    <s v="Yes"/>
    <n v="6.3"/>
    <n v="5"/>
    <x v="0"/>
    <n v="4"/>
    <n v="8"/>
  </r>
  <r>
    <n v="345"/>
    <x v="0"/>
    <x v="0"/>
    <x v="0"/>
    <x v="21"/>
    <x v="14"/>
    <x v="0"/>
    <s v="No"/>
    <n v="8.1"/>
    <n v="8"/>
    <x v="1"/>
    <n v="2"/>
    <n v="4"/>
  </r>
  <r>
    <n v="346"/>
    <x v="4"/>
    <x v="1"/>
    <x v="1"/>
    <x v="35"/>
    <x v="20"/>
    <x v="0"/>
    <s v="Yes"/>
    <n v="6.9"/>
    <n v="6"/>
    <x v="1"/>
    <n v="3"/>
    <n v="7"/>
  </r>
  <r>
    <n v="347"/>
    <x v="2"/>
    <x v="0"/>
    <x v="0"/>
    <x v="2"/>
    <x v="48"/>
    <x v="2"/>
    <s v="Yes"/>
    <n v="5.3"/>
    <n v="5"/>
    <x v="0"/>
    <n v="4"/>
    <n v="9"/>
  </r>
  <r>
    <n v="348"/>
    <x v="1"/>
    <x v="1"/>
    <x v="1"/>
    <x v="13"/>
    <x v="7"/>
    <x v="10"/>
    <s v="Yes"/>
    <n v="6.4"/>
    <n v="6"/>
    <x v="1"/>
    <n v="3"/>
    <n v="7"/>
  </r>
  <r>
    <n v="349"/>
    <x v="0"/>
    <x v="0"/>
    <x v="0"/>
    <x v="10"/>
    <x v="44"/>
    <x v="0"/>
    <s v="No"/>
    <n v="7.7"/>
    <n v="7"/>
    <x v="0"/>
    <n v="2"/>
    <n v="5"/>
  </r>
  <r>
    <n v="350"/>
    <x v="4"/>
    <x v="1"/>
    <x v="1"/>
    <x v="4"/>
    <x v="43"/>
    <x v="0"/>
    <s v="Yes"/>
    <n v="7.1"/>
    <n v="6"/>
    <x v="1"/>
    <n v="3"/>
    <n v="7"/>
  </r>
  <r>
    <n v="351"/>
    <x v="2"/>
    <x v="0"/>
    <x v="0"/>
    <x v="11"/>
    <x v="22"/>
    <x v="2"/>
    <s v="Yes"/>
    <n v="7"/>
    <n v="6"/>
    <x v="1"/>
    <n v="3"/>
    <n v="7"/>
  </r>
  <r>
    <n v="352"/>
    <x v="1"/>
    <x v="1"/>
    <x v="1"/>
    <x v="18"/>
    <x v="14"/>
    <x v="4"/>
    <s v="No"/>
    <n v="8.1"/>
    <n v="8"/>
    <x v="0"/>
    <n v="2"/>
    <n v="4"/>
  </r>
  <r>
    <n v="353"/>
    <x v="0"/>
    <x v="0"/>
    <x v="0"/>
    <x v="25"/>
    <x v="38"/>
    <x v="0"/>
    <s v="Yes"/>
    <n v="7.3"/>
    <n v="7"/>
    <x v="1"/>
    <n v="3"/>
    <n v="6"/>
  </r>
  <r>
    <n v="354"/>
    <x v="4"/>
    <x v="1"/>
    <x v="1"/>
    <x v="1"/>
    <x v="25"/>
    <x v="10"/>
    <s v="Yes"/>
    <n v="6.2"/>
    <n v="5"/>
    <x v="0"/>
    <n v="4"/>
    <n v="8"/>
  </r>
  <r>
    <n v="355"/>
    <x v="2"/>
    <x v="0"/>
    <x v="0"/>
    <x v="21"/>
    <x v="30"/>
    <x v="0"/>
    <s v="No"/>
    <n v="8.1999999999999993"/>
    <n v="8"/>
    <x v="1"/>
    <n v="2"/>
    <n v="4"/>
  </r>
  <r>
    <n v="356"/>
    <x v="1"/>
    <x v="1"/>
    <x v="1"/>
    <x v="35"/>
    <x v="0"/>
    <x v="2"/>
    <s v="Yes"/>
    <n v="7"/>
    <n v="6"/>
    <x v="1"/>
    <n v="3"/>
    <n v="7"/>
  </r>
  <r>
    <n v="357"/>
    <x v="0"/>
    <x v="0"/>
    <x v="0"/>
    <x v="2"/>
    <x v="53"/>
    <x v="0"/>
    <s v="Yes"/>
    <n v="5.2"/>
    <n v="5"/>
    <x v="0"/>
    <n v="4"/>
    <n v="9"/>
  </r>
  <r>
    <n v="358"/>
    <x v="4"/>
    <x v="1"/>
    <x v="1"/>
    <x v="13"/>
    <x v="29"/>
    <x v="10"/>
    <s v="Yes"/>
    <n v="6.3"/>
    <n v="6"/>
    <x v="1"/>
    <n v="3"/>
    <n v="7"/>
  </r>
  <r>
    <n v="359"/>
    <x v="2"/>
    <x v="0"/>
    <x v="0"/>
    <x v="10"/>
    <x v="15"/>
    <x v="0"/>
    <s v="No"/>
    <n v="7.8"/>
    <n v="7"/>
    <x v="0"/>
    <n v="2"/>
    <n v="5"/>
  </r>
  <r>
    <n v="360"/>
    <x v="1"/>
    <x v="1"/>
    <x v="1"/>
    <x v="4"/>
    <x v="17"/>
    <x v="2"/>
    <s v="Yes"/>
    <n v="7.2"/>
    <n v="6"/>
    <x v="1"/>
    <n v="3"/>
    <n v="7"/>
  </r>
  <r>
    <n v="361"/>
    <x v="0"/>
    <x v="0"/>
    <x v="0"/>
    <x v="11"/>
    <x v="10"/>
    <x v="0"/>
    <s v="Yes"/>
    <n v="7.1"/>
    <n v="6"/>
    <x v="1"/>
    <n v="3"/>
    <n v="7"/>
  </r>
  <r>
    <n v="362"/>
    <x v="4"/>
    <x v="1"/>
    <x v="1"/>
    <x v="18"/>
    <x v="30"/>
    <x v="4"/>
    <s v="No"/>
    <n v="8.1999999999999993"/>
    <n v="8"/>
    <x v="0"/>
    <n v="2"/>
    <n v="4"/>
  </r>
  <r>
    <n v="363"/>
    <x v="2"/>
    <x v="0"/>
    <x v="0"/>
    <x v="25"/>
    <x v="4"/>
    <x v="2"/>
    <s v="Yes"/>
    <n v="7.4"/>
    <n v="7"/>
    <x v="1"/>
    <n v="3"/>
    <n v="6"/>
  </r>
  <r>
    <n v="364"/>
    <x v="1"/>
    <x v="1"/>
    <x v="1"/>
    <x v="1"/>
    <x v="35"/>
    <x v="10"/>
    <s v="Yes"/>
    <n v="6.1"/>
    <n v="5"/>
    <x v="0"/>
    <n v="4"/>
    <n v="8"/>
  </r>
  <r>
    <n v="365"/>
    <x v="0"/>
    <x v="0"/>
    <x v="0"/>
    <x v="21"/>
    <x v="18"/>
    <x v="0"/>
    <s v="No"/>
    <n v="8.3000000000000007"/>
    <n v="8"/>
    <x v="1"/>
    <n v="2"/>
    <n v="4"/>
  </r>
  <r>
    <n v="366"/>
    <x v="4"/>
    <x v="1"/>
    <x v="1"/>
    <x v="35"/>
    <x v="43"/>
    <x v="0"/>
    <s v="Yes"/>
    <n v="7.1"/>
    <n v="6"/>
    <x v="1"/>
    <n v="3"/>
    <n v="7"/>
  </r>
  <r>
    <n v="367"/>
    <x v="2"/>
    <x v="0"/>
    <x v="0"/>
    <x v="2"/>
    <x v="5"/>
    <x v="2"/>
    <s v="Yes"/>
    <n v="5.0999999999999996"/>
    <n v="5"/>
    <x v="0"/>
    <n v="4"/>
    <n v="9"/>
  </r>
  <r>
    <n v="368"/>
    <x v="1"/>
    <x v="1"/>
    <x v="1"/>
    <x v="13"/>
    <x v="2"/>
    <x v="10"/>
    <s v="Yes"/>
    <n v="6.2"/>
    <n v="6"/>
    <x v="1"/>
    <n v="3"/>
    <n v="7"/>
  </r>
  <r>
    <n v="369"/>
    <x v="0"/>
    <x v="0"/>
    <x v="0"/>
    <x v="10"/>
    <x v="45"/>
    <x v="0"/>
    <s v="No"/>
    <n v="7.9"/>
    <n v="7"/>
    <x v="0"/>
    <n v="2"/>
    <n v="5"/>
  </r>
  <r>
    <n v="370"/>
    <x v="4"/>
    <x v="1"/>
    <x v="1"/>
    <x v="4"/>
    <x v="22"/>
    <x v="0"/>
    <s v="Yes"/>
    <n v="7.3"/>
    <n v="6"/>
    <x v="1"/>
    <n v="3"/>
    <n v="7"/>
  </r>
  <r>
    <n v="371"/>
    <x v="2"/>
    <x v="0"/>
    <x v="0"/>
    <x v="11"/>
    <x v="19"/>
    <x v="2"/>
    <s v="Yes"/>
    <n v="7.2"/>
    <n v="6"/>
    <x v="1"/>
    <n v="3"/>
    <n v="7"/>
  </r>
  <r>
    <n v="372"/>
    <x v="1"/>
    <x v="1"/>
    <x v="1"/>
    <x v="18"/>
    <x v="18"/>
    <x v="4"/>
    <s v="No"/>
    <n v="8.3000000000000007"/>
    <n v="8"/>
    <x v="0"/>
    <n v="2"/>
    <n v="4"/>
  </r>
  <r>
    <n v="373"/>
    <x v="0"/>
    <x v="0"/>
    <x v="0"/>
    <x v="25"/>
    <x v="27"/>
    <x v="0"/>
    <s v="Yes"/>
    <n v="7.5"/>
    <n v="7"/>
    <x v="1"/>
    <n v="3"/>
    <n v="6"/>
  </r>
  <r>
    <n v="374"/>
    <x v="4"/>
    <x v="1"/>
    <x v="1"/>
    <x v="1"/>
    <x v="40"/>
    <x v="10"/>
    <s v="Yes"/>
    <n v="6"/>
    <n v="5"/>
    <x v="0"/>
    <n v="4"/>
    <n v="8"/>
  </r>
  <r>
    <n v="375"/>
    <x v="2"/>
    <x v="0"/>
    <x v="0"/>
    <x v="21"/>
    <x v="46"/>
    <x v="0"/>
    <s v="No"/>
    <n v="8.4"/>
    <n v="8"/>
    <x v="1"/>
    <n v="2"/>
    <n v="4"/>
  </r>
  <r>
    <n v="376"/>
    <x v="1"/>
    <x v="1"/>
    <x v="1"/>
    <x v="35"/>
    <x v="17"/>
    <x v="2"/>
    <s v="Yes"/>
    <n v="7.2"/>
    <n v="6"/>
    <x v="1"/>
    <n v="3"/>
    <n v="7"/>
  </r>
  <r>
    <n v="377"/>
    <x v="0"/>
    <x v="0"/>
    <x v="0"/>
    <x v="2"/>
    <x v="54"/>
    <x v="0"/>
    <s v="Yes"/>
    <n v="5"/>
    <n v="5"/>
    <x v="0"/>
    <n v="4"/>
    <n v="9"/>
  </r>
  <r>
    <n v="378"/>
    <x v="4"/>
    <x v="1"/>
    <x v="1"/>
    <x v="13"/>
    <x v="25"/>
    <x v="10"/>
    <s v="Yes"/>
    <n v="6.1"/>
    <n v="6"/>
    <x v="1"/>
    <n v="3"/>
    <n v="7"/>
  </r>
  <r>
    <n v="379"/>
    <x v="2"/>
    <x v="0"/>
    <x v="0"/>
    <x v="10"/>
    <x v="8"/>
    <x v="0"/>
    <s v="No"/>
    <n v="8"/>
    <n v="7"/>
    <x v="0"/>
    <n v="2"/>
    <n v="5"/>
  </r>
  <r>
    <n v="380"/>
    <x v="1"/>
    <x v="1"/>
    <x v="1"/>
    <x v="4"/>
    <x v="10"/>
    <x v="2"/>
    <s v="Yes"/>
    <n v="7.4"/>
    <n v="6"/>
    <x v="1"/>
    <n v="3"/>
    <n v="7"/>
  </r>
  <r>
    <n v="381"/>
    <x v="0"/>
    <x v="0"/>
    <x v="0"/>
    <x v="11"/>
    <x v="38"/>
    <x v="0"/>
    <s v="Yes"/>
    <n v="7.3"/>
    <n v="6"/>
    <x v="1"/>
    <n v="3"/>
    <n v="7"/>
  </r>
  <r>
    <n v="382"/>
    <x v="4"/>
    <x v="1"/>
    <x v="1"/>
    <x v="18"/>
    <x v="46"/>
    <x v="4"/>
    <s v="No"/>
    <n v="8.4"/>
    <n v="8"/>
    <x v="0"/>
    <n v="2"/>
    <n v="4"/>
  </r>
  <r>
    <n v="383"/>
    <x v="2"/>
    <x v="0"/>
    <x v="0"/>
    <x v="25"/>
    <x v="44"/>
    <x v="2"/>
    <s v="Yes"/>
    <n v="7.6"/>
    <n v="7"/>
    <x v="1"/>
    <n v="3"/>
    <n v="6"/>
  </r>
  <r>
    <n v="384"/>
    <x v="1"/>
    <x v="1"/>
    <x v="1"/>
    <x v="1"/>
    <x v="47"/>
    <x v="10"/>
    <s v="Yes"/>
    <n v="5.9"/>
    <n v="5"/>
    <x v="0"/>
    <n v="4"/>
    <n v="8"/>
  </r>
  <r>
    <n v="385"/>
    <x v="0"/>
    <x v="0"/>
    <x v="0"/>
    <x v="21"/>
    <x v="9"/>
    <x v="0"/>
    <s v="No"/>
    <n v="8.5"/>
    <n v="8"/>
    <x v="1"/>
    <n v="2"/>
    <n v="4"/>
  </r>
  <r>
    <n v="386"/>
    <x v="4"/>
    <x v="1"/>
    <x v="1"/>
    <x v="35"/>
    <x v="22"/>
    <x v="0"/>
    <s v="Yes"/>
    <n v="7.3"/>
    <n v="6"/>
    <x v="1"/>
    <n v="3"/>
    <n v="7"/>
  </r>
  <r>
    <n v="387"/>
    <x v="2"/>
    <x v="0"/>
    <x v="0"/>
    <x v="2"/>
    <x v="55"/>
    <x v="2"/>
    <s v="Yes"/>
    <n v="4.9000000000000004"/>
    <n v="5"/>
    <x v="0"/>
    <n v="4"/>
    <n v="9"/>
  </r>
  <r>
    <n v="388"/>
    <x v="1"/>
    <x v="1"/>
    <x v="1"/>
    <x v="13"/>
    <x v="35"/>
    <x v="10"/>
    <s v="Yes"/>
    <n v="6"/>
    <n v="6"/>
    <x v="1"/>
    <n v="3"/>
    <n v="7"/>
  </r>
  <r>
    <n v="389"/>
    <x v="0"/>
    <x v="0"/>
    <x v="0"/>
    <x v="10"/>
    <x v="36"/>
    <x v="0"/>
    <s v="No"/>
    <n v="8.1"/>
    <n v="7"/>
    <x v="0"/>
    <n v="2"/>
    <n v="5"/>
  </r>
  <r>
    <n v="390"/>
    <x v="4"/>
    <x v="1"/>
    <x v="1"/>
    <x v="4"/>
    <x v="19"/>
    <x v="0"/>
    <s v="Yes"/>
    <n v="7.5"/>
    <n v="6"/>
    <x v="1"/>
    <n v="3"/>
    <n v="7"/>
  </r>
  <r>
    <n v="391"/>
    <x v="2"/>
    <x v="0"/>
    <x v="0"/>
    <x v="11"/>
    <x v="4"/>
    <x v="2"/>
    <s v="Yes"/>
    <n v="7.4"/>
    <n v="6"/>
    <x v="1"/>
    <n v="3"/>
    <n v="7"/>
  </r>
  <r>
    <n v="392"/>
    <x v="1"/>
    <x v="1"/>
    <x v="1"/>
    <x v="18"/>
    <x v="9"/>
    <x v="4"/>
    <s v="No"/>
    <n v="8.5"/>
    <n v="8"/>
    <x v="0"/>
    <n v="2"/>
    <n v="4"/>
  </r>
  <r>
    <n v="393"/>
    <x v="0"/>
    <x v="0"/>
    <x v="0"/>
    <x v="25"/>
    <x v="15"/>
    <x v="0"/>
    <s v="Yes"/>
    <n v="7.7"/>
    <n v="7"/>
    <x v="1"/>
    <n v="3"/>
    <n v="6"/>
  </r>
  <r>
    <n v="394"/>
    <x v="4"/>
    <x v="1"/>
    <x v="1"/>
    <x v="1"/>
    <x v="13"/>
    <x v="10"/>
    <s v="Yes"/>
    <n v="5.8"/>
    <n v="5"/>
    <x v="0"/>
    <n v="4"/>
    <n v="8"/>
  </r>
  <r>
    <n v="395"/>
    <x v="2"/>
    <x v="0"/>
    <x v="0"/>
    <x v="21"/>
    <x v="24"/>
    <x v="0"/>
    <s v="No"/>
    <n v="8.6"/>
    <n v="8"/>
    <x v="1"/>
    <n v="2"/>
    <n v="4"/>
  </r>
  <r>
    <n v="396"/>
    <x v="1"/>
    <x v="1"/>
    <x v="1"/>
    <x v="35"/>
    <x v="10"/>
    <x v="2"/>
    <s v="Yes"/>
    <n v="7.4"/>
    <n v="6"/>
    <x v="1"/>
    <n v="3"/>
    <n v="7"/>
  </r>
  <r>
    <n v="397"/>
    <x v="0"/>
    <x v="0"/>
    <x v="0"/>
    <x v="2"/>
    <x v="56"/>
    <x v="0"/>
    <s v="Yes"/>
    <n v="4.8"/>
    <n v="5"/>
    <x v="0"/>
    <n v="4"/>
    <n v="9"/>
  </r>
  <r>
    <n v="398"/>
    <x v="4"/>
    <x v="1"/>
    <x v="1"/>
    <x v="13"/>
    <x v="40"/>
    <x v="10"/>
    <s v="Yes"/>
    <n v="5.9"/>
    <n v="6"/>
    <x v="1"/>
    <n v="3"/>
    <n v="7"/>
  </r>
  <r>
    <n v="399"/>
    <x v="2"/>
    <x v="0"/>
    <x v="0"/>
    <x v="10"/>
    <x v="26"/>
    <x v="0"/>
    <s v="No"/>
    <n v="8.1999999999999993"/>
    <n v="7"/>
    <x v="0"/>
    <n v="2"/>
    <n v="5"/>
  </r>
  <r>
    <n v="400"/>
    <x v="1"/>
    <x v="1"/>
    <x v="1"/>
    <x v="4"/>
    <x v="38"/>
    <x v="2"/>
    <s v="Yes"/>
    <n v="7.6"/>
    <n v="6"/>
    <x v="1"/>
    <n v="3"/>
    <n v="7"/>
  </r>
  <r>
    <n v="401"/>
    <x v="0"/>
    <x v="0"/>
    <x v="0"/>
    <x v="11"/>
    <x v="27"/>
    <x v="0"/>
    <s v="Yes"/>
    <n v="7.5"/>
    <n v="6"/>
    <x v="1"/>
    <n v="3"/>
    <n v="7"/>
  </r>
  <r>
    <n v="402"/>
    <x v="4"/>
    <x v="1"/>
    <x v="1"/>
    <x v="18"/>
    <x v="24"/>
    <x v="4"/>
    <s v="No"/>
    <n v="8.6"/>
    <n v="8"/>
    <x v="0"/>
    <n v="2"/>
    <n v="4"/>
  </r>
  <r>
    <n v="403"/>
    <x v="2"/>
    <x v="0"/>
    <x v="0"/>
    <x v="25"/>
    <x v="45"/>
    <x v="2"/>
    <s v="Yes"/>
    <n v="7.8"/>
    <n v="7"/>
    <x v="1"/>
    <n v="3"/>
    <n v="6"/>
  </r>
  <r>
    <n v="404"/>
    <x v="1"/>
    <x v="1"/>
    <x v="1"/>
    <x v="1"/>
    <x v="52"/>
    <x v="10"/>
    <s v="Yes"/>
    <n v="5.7"/>
    <n v="5"/>
    <x v="0"/>
    <n v="4"/>
    <n v="8"/>
  </r>
  <r>
    <n v="405"/>
    <x v="0"/>
    <x v="0"/>
    <x v="0"/>
    <x v="21"/>
    <x v="34"/>
    <x v="0"/>
    <s v="No"/>
    <n v="8.6999999999999993"/>
    <n v="8"/>
    <x v="1"/>
    <n v="2"/>
    <n v="4"/>
  </r>
  <r>
    <n v="406"/>
    <x v="4"/>
    <x v="1"/>
    <x v="1"/>
    <x v="35"/>
    <x v="19"/>
    <x v="0"/>
    <s v="Yes"/>
    <n v="7.5"/>
    <n v="6"/>
    <x v="1"/>
    <n v="3"/>
    <n v="7"/>
  </r>
  <r>
    <n v="407"/>
    <x v="2"/>
    <x v="0"/>
    <x v="0"/>
    <x v="2"/>
    <x v="57"/>
    <x v="2"/>
    <s v="Yes"/>
    <n v="4.7"/>
    <n v="5"/>
    <x v="0"/>
    <n v="4"/>
    <n v="9"/>
  </r>
  <r>
    <n v="408"/>
    <x v="1"/>
    <x v="1"/>
    <x v="1"/>
    <x v="13"/>
    <x v="47"/>
    <x v="10"/>
    <s v="Yes"/>
    <n v="5.8"/>
    <n v="6"/>
    <x v="1"/>
    <n v="3"/>
    <n v="7"/>
  </r>
  <r>
    <n v="409"/>
    <x v="0"/>
    <x v="0"/>
    <x v="0"/>
    <x v="10"/>
    <x v="14"/>
    <x v="0"/>
    <s v="No"/>
    <n v="8.3000000000000007"/>
    <n v="7"/>
    <x v="0"/>
    <n v="2"/>
    <n v="5"/>
  </r>
  <r>
    <n v="410"/>
    <x v="4"/>
    <x v="1"/>
    <x v="1"/>
    <x v="4"/>
    <x v="4"/>
    <x v="0"/>
    <s v="Yes"/>
    <n v="7.7"/>
    <n v="6"/>
    <x v="1"/>
    <n v="3"/>
    <n v="7"/>
  </r>
  <r>
    <n v="411"/>
    <x v="2"/>
    <x v="0"/>
    <x v="0"/>
    <x v="11"/>
    <x v="44"/>
    <x v="2"/>
    <s v="Yes"/>
    <n v="7.6"/>
    <n v="6"/>
    <x v="1"/>
    <n v="3"/>
    <n v="7"/>
  </r>
  <r>
    <n v="412"/>
    <x v="1"/>
    <x v="1"/>
    <x v="1"/>
    <x v="18"/>
    <x v="34"/>
    <x v="4"/>
    <s v="No"/>
    <n v="8.6999999999999993"/>
    <n v="8"/>
    <x v="0"/>
    <n v="2"/>
    <n v="4"/>
  </r>
  <r>
    <n v="413"/>
    <x v="0"/>
    <x v="0"/>
    <x v="0"/>
    <x v="25"/>
    <x v="8"/>
    <x v="0"/>
    <s v="Yes"/>
    <n v="7.9"/>
    <n v="7"/>
    <x v="1"/>
    <n v="3"/>
    <n v="6"/>
  </r>
  <r>
    <n v="414"/>
    <x v="4"/>
    <x v="1"/>
    <x v="1"/>
    <x v="1"/>
    <x v="51"/>
    <x v="10"/>
    <s v="Yes"/>
    <n v="5.6"/>
    <n v="5"/>
    <x v="0"/>
    <n v="4"/>
    <n v="8"/>
  </r>
  <r>
    <n v="415"/>
    <x v="2"/>
    <x v="0"/>
    <x v="0"/>
    <x v="21"/>
    <x v="3"/>
    <x v="0"/>
    <s v="No"/>
    <n v="8.8000000000000007"/>
    <n v="8"/>
    <x v="1"/>
    <n v="2"/>
    <n v="4"/>
  </r>
  <r>
    <n v="416"/>
    <x v="1"/>
    <x v="1"/>
    <x v="1"/>
    <x v="35"/>
    <x v="38"/>
    <x v="2"/>
    <s v="Yes"/>
    <n v="7.6"/>
    <n v="6"/>
    <x v="1"/>
    <n v="3"/>
    <n v="7"/>
  </r>
  <r>
    <n v="417"/>
    <x v="0"/>
    <x v="0"/>
    <x v="0"/>
    <x v="2"/>
    <x v="58"/>
    <x v="0"/>
    <s v="Yes"/>
    <n v="4.5999999999999996"/>
    <n v="5"/>
    <x v="0"/>
    <n v="4"/>
    <n v="9"/>
  </r>
  <r>
    <n v="418"/>
    <x v="4"/>
    <x v="1"/>
    <x v="1"/>
    <x v="13"/>
    <x v="13"/>
    <x v="10"/>
    <s v="Yes"/>
    <n v="5.7"/>
    <n v="6"/>
    <x v="1"/>
    <n v="3"/>
    <n v="7"/>
  </r>
  <r>
    <n v="419"/>
    <x v="2"/>
    <x v="0"/>
    <x v="0"/>
    <x v="10"/>
    <x v="30"/>
    <x v="0"/>
    <s v="No"/>
    <n v="8.4"/>
    <n v="7"/>
    <x v="0"/>
    <n v="2"/>
    <n v="5"/>
  </r>
  <r>
    <n v="420"/>
    <x v="1"/>
    <x v="1"/>
    <x v="1"/>
    <x v="4"/>
    <x v="27"/>
    <x v="2"/>
    <s v="Yes"/>
    <n v="7.8"/>
    <n v="6"/>
    <x v="1"/>
    <n v="3"/>
    <n v="7"/>
  </r>
  <r>
    <n v="421"/>
    <x v="0"/>
    <x v="0"/>
    <x v="0"/>
    <x v="11"/>
    <x v="15"/>
    <x v="0"/>
    <s v="Yes"/>
    <n v="7.7"/>
    <n v="6"/>
    <x v="1"/>
    <n v="3"/>
    <n v="7"/>
  </r>
  <r>
    <n v="422"/>
    <x v="4"/>
    <x v="1"/>
    <x v="1"/>
    <x v="18"/>
    <x v="3"/>
    <x v="4"/>
    <s v="No"/>
    <n v="8.8000000000000007"/>
    <n v="8"/>
    <x v="0"/>
    <n v="2"/>
    <n v="4"/>
  </r>
  <r>
    <n v="423"/>
    <x v="2"/>
    <x v="0"/>
    <x v="0"/>
    <x v="25"/>
    <x v="36"/>
    <x v="2"/>
    <s v="Yes"/>
    <n v="8"/>
    <n v="7"/>
    <x v="1"/>
    <n v="3"/>
    <n v="6"/>
  </r>
  <r>
    <n v="424"/>
    <x v="1"/>
    <x v="1"/>
    <x v="1"/>
    <x v="1"/>
    <x v="49"/>
    <x v="10"/>
    <s v="Yes"/>
    <n v="5.5"/>
    <n v="5"/>
    <x v="0"/>
    <n v="4"/>
    <n v="8"/>
  </r>
  <r>
    <n v="425"/>
    <x v="0"/>
    <x v="0"/>
    <x v="0"/>
    <x v="21"/>
    <x v="42"/>
    <x v="0"/>
    <s v="No"/>
    <n v="8.9"/>
    <n v="8"/>
    <x v="1"/>
    <n v="2"/>
    <n v="4"/>
  </r>
  <r>
    <n v="426"/>
    <x v="4"/>
    <x v="1"/>
    <x v="1"/>
    <x v="35"/>
    <x v="4"/>
    <x v="0"/>
    <s v="Yes"/>
    <n v="7.7"/>
    <n v="6"/>
    <x v="1"/>
    <n v="3"/>
    <n v="7"/>
  </r>
  <r>
    <n v="427"/>
    <x v="2"/>
    <x v="0"/>
    <x v="0"/>
    <x v="2"/>
    <x v="59"/>
    <x v="2"/>
    <s v="Yes"/>
    <n v="4.5"/>
    <n v="5"/>
    <x v="0"/>
    <n v="4"/>
    <n v="9"/>
  </r>
  <r>
    <n v="428"/>
    <x v="1"/>
    <x v="1"/>
    <x v="1"/>
    <x v="13"/>
    <x v="52"/>
    <x v="10"/>
    <s v="Yes"/>
    <n v="5.6"/>
    <n v="6"/>
    <x v="1"/>
    <n v="3"/>
    <n v="7"/>
  </r>
  <r>
    <n v="429"/>
    <x v="0"/>
    <x v="0"/>
    <x v="0"/>
    <x v="10"/>
    <x v="18"/>
    <x v="0"/>
    <s v="No"/>
    <n v="8.5"/>
    <n v="7"/>
    <x v="0"/>
    <n v="2"/>
    <n v="5"/>
  </r>
  <r>
    <n v="430"/>
    <x v="4"/>
    <x v="1"/>
    <x v="1"/>
    <x v="4"/>
    <x v="44"/>
    <x v="0"/>
    <s v="Yes"/>
    <n v="7.9"/>
    <n v="6"/>
    <x v="1"/>
    <n v="3"/>
    <n v="7"/>
  </r>
  <r>
    <n v="431"/>
    <x v="2"/>
    <x v="0"/>
    <x v="0"/>
    <x v="11"/>
    <x v="45"/>
    <x v="2"/>
    <s v="Yes"/>
    <n v="7.8"/>
    <n v="6"/>
    <x v="1"/>
    <n v="3"/>
    <n v="7"/>
  </r>
  <r>
    <n v="432"/>
    <x v="1"/>
    <x v="1"/>
    <x v="1"/>
    <x v="18"/>
    <x v="42"/>
    <x v="4"/>
    <s v="No"/>
    <n v="8.9"/>
    <n v="8"/>
    <x v="0"/>
    <n v="2"/>
    <n v="4"/>
  </r>
  <r>
    <n v="433"/>
    <x v="0"/>
    <x v="0"/>
    <x v="0"/>
    <x v="25"/>
    <x v="26"/>
    <x v="0"/>
    <s v="Yes"/>
    <n v="8.1"/>
    <n v="7"/>
    <x v="1"/>
    <n v="3"/>
    <n v="6"/>
  </r>
  <r>
    <n v="434"/>
    <x v="4"/>
    <x v="1"/>
    <x v="1"/>
    <x v="1"/>
    <x v="50"/>
    <x v="10"/>
    <s v="Yes"/>
    <n v="5.4"/>
    <n v="5"/>
    <x v="0"/>
    <n v="4"/>
    <n v="8"/>
  </r>
  <r>
    <n v="435"/>
    <x v="2"/>
    <x v="0"/>
    <x v="0"/>
    <x v="21"/>
    <x v="12"/>
    <x v="0"/>
    <s v="No"/>
    <n v="9"/>
    <n v="8"/>
    <x v="1"/>
    <n v="2"/>
    <n v="4"/>
  </r>
  <r>
    <n v="436"/>
    <x v="1"/>
    <x v="1"/>
    <x v="1"/>
    <x v="35"/>
    <x v="27"/>
    <x v="2"/>
    <s v="Yes"/>
    <n v="7.8"/>
    <n v="6"/>
    <x v="1"/>
    <n v="3"/>
    <n v="7"/>
  </r>
  <r>
    <n v="437"/>
    <x v="0"/>
    <x v="0"/>
    <x v="0"/>
    <x v="2"/>
    <x v="60"/>
    <x v="0"/>
    <s v="Yes"/>
    <n v="4.4000000000000004"/>
    <n v="5"/>
    <x v="0"/>
    <n v="4"/>
    <n v="9"/>
  </r>
  <r>
    <n v="438"/>
    <x v="4"/>
    <x v="1"/>
    <x v="1"/>
    <x v="13"/>
    <x v="51"/>
    <x v="10"/>
    <s v="Yes"/>
    <n v="5.5"/>
    <n v="6"/>
    <x v="1"/>
    <n v="3"/>
    <n v="7"/>
  </r>
  <r>
    <n v="439"/>
    <x v="2"/>
    <x v="0"/>
    <x v="0"/>
    <x v="10"/>
    <x v="46"/>
    <x v="0"/>
    <s v="No"/>
    <n v="8.6"/>
    <n v="7"/>
    <x v="0"/>
    <n v="2"/>
    <n v="5"/>
  </r>
  <r>
    <n v="440"/>
    <x v="1"/>
    <x v="1"/>
    <x v="1"/>
    <x v="4"/>
    <x v="15"/>
    <x v="2"/>
    <s v="Yes"/>
    <n v="8"/>
    <n v="6"/>
    <x v="1"/>
    <n v="3"/>
    <n v="7"/>
  </r>
  <r>
    <n v="441"/>
    <x v="0"/>
    <x v="0"/>
    <x v="0"/>
    <x v="11"/>
    <x v="8"/>
    <x v="0"/>
    <s v="Yes"/>
    <n v="7.9"/>
    <n v="6"/>
    <x v="1"/>
    <n v="3"/>
    <n v="7"/>
  </r>
  <r>
    <n v="442"/>
    <x v="4"/>
    <x v="1"/>
    <x v="1"/>
    <x v="18"/>
    <x v="12"/>
    <x v="4"/>
    <s v="No"/>
    <n v="9"/>
    <n v="8"/>
    <x v="0"/>
    <n v="2"/>
    <n v="4"/>
  </r>
  <r>
    <n v="443"/>
    <x v="2"/>
    <x v="0"/>
    <x v="0"/>
    <x v="25"/>
    <x v="14"/>
    <x v="2"/>
    <s v="Yes"/>
    <n v="8.1999999999999993"/>
    <n v="7"/>
    <x v="1"/>
    <n v="3"/>
    <n v="6"/>
  </r>
  <r>
    <n v="444"/>
    <x v="1"/>
    <x v="1"/>
    <x v="1"/>
    <x v="1"/>
    <x v="48"/>
    <x v="10"/>
    <s v="Yes"/>
    <n v="5.3"/>
    <n v="5"/>
    <x v="0"/>
    <n v="4"/>
    <n v="8"/>
  </r>
  <r>
    <n v="445"/>
    <x v="0"/>
    <x v="0"/>
    <x v="0"/>
    <x v="21"/>
    <x v="39"/>
    <x v="0"/>
    <s v="No"/>
    <n v="9.1"/>
    <n v="8"/>
    <x v="1"/>
    <n v="2"/>
    <n v="4"/>
  </r>
  <r>
    <n v="446"/>
    <x v="4"/>
    <x v="1"/>
    <x v="1"/>
    <x v="35"/>
    <x v="44"/>
    <x v="0"/>
    <s v="Yes"/>
    <n v="7.9"/>
    <n v="6"/>
    <x v="1"/>
    <n v="3"/>
    <n v="7"/>
  </r>
  <r>
    <n v="447"/>
    <x v="2"/>
    <x v="0"/>
    <x v="0"/>
    <x v="2"/>
    <x v="61"/>
    <x v="2"/>
    <s v="Yes"/>
    <n v="4.3"/>
    <n v="5"/>
    <x v="0"/>
    <n v="4"/>
    <n v="9"/>
  </r>
  <r>
    <n v="448"/>
    <x v="1"/>
    <x v="1"/>
    <x v="1"/>
    <x v="13"/>
    <x v="49"/>
    <x v="10"/>
    <s v="Yes"/>
    <n v="5.4"/>
    <n v="6"/>
    <x v="1"/>
    <n v="3"/>
    <n v="7"/>
  </r>
  <r>
    <n v="449"/>
    <x v="0"/>
    <x v="0"/>
    <x v="0"/>
    <x v="10"/>
    <x v="9"/>
    <x v="0"/>
    <s v="No"/>
    <n v="8.6999999999999993"/>
    <n v="7"/>
    <x v="0"/>
    <n v="2"/>
    <n v="5"/>
  </r>
  <r>
    <n v="450"/>
    <x v="4"/>
    <x v="1"/>
    <x v="1"/>
    <x v="4"/>
    <x v="45"/>
    <x v="0"/>
    <s v="Yes"/>
    <n v="8.1"/>
    <n v="6"/>
    <x v="1"/>
    <n v="3"/>
    <n v="7"/>
  </r>
  <r>
    <n v="451"/>
    <x v="2"/>
    <x v="0"/>
    <x v="0"/>
    <x v="11"/>
    <x v="36"/>
    <x v="2"/>
    <s v="Yes"/>
    <n v="8"/>
    <n v="6"/>
    <x v="1"/>
    <n v="3"/>
    <n v="7"/>
  </r>
  <r>
    <n v="452"/>
    <x v="1"/>
    <x v="1"/>
    <x v="1"/>
    <x v="18"/>
    <x v="39"/>
    <x v="4"/>
    <s v="No"/>
    <n v="9.1"/>
    <n v="8"/>
    <x v="0"/>
    <n v="2"/>
    <n v="4"/>
  </r>
  <r>
    <n v="453"/>
    <x v="0"/>
    <x v="0"/>
    <x v="0"/>
    <x v="25"/>
    <x v="30"/>
    <x v="0"/>
    <s v="Yes"/>
    <n v="8.3000000000000007"/>
    <n v="7"/>
    <x v="1"/>
    <n v="3"/>
    <n v="6"/>
  </r>
  <r>
    <n v="454"/>
    <x v="4"/>
    <x v="1"/>
    <x v="1"/>
    <x v="1"/>
    <x v="53"/>
    <x v="10"/>
    <s v="Yes"/>
    <n v="5.2"/>
    <n v="5"/>
    <x v="0"/>
    <n v="4"/>
    <n v="8"/>
  </r>
  <r>
    <n v="455"/>
    <x v="2"/>
    <x v="0"/>
    <x v="0"/>
    <x v="21"/>
    <x v="32"/>
    <x v="0"/>
    <s v="No"/>
    <n v="9.1999999999999993"/>
    <n v="8"/>
    <x v="1"/>
    <n v="2"/>
    <n v="4"/>
  </r>
  <r>
    <n v="456"/>
    <x v="1"/>
    <x v="1"/>
    <x v="1"/>
    <x v="35"/>
    <x v="15"/>
    <x v="2"/>
    <s v="Yes"/>
    <n v="8"/>
    <n v="6"/>
    <x v="1"/>
    <n v="3"/>
    <n v="7"/>
  </r>
  <r>
    <n v="457"/>
    <x v="0"/>
    <x v="0"/>
    <x v="0"/>
    <x v="2"/>
    <x v="62"/>
    <x v="0"/>
    <s v="Yes"/>
    <n v="4.2"/>
    <n v="5"/>
    <x v="0"/>
    <n v="4"/>
    <n v="9"/>
  </r>
  <r>
    <n v="458"/>
    <x v="4"/>
    <x v="1"/>
    <x v="1"/>
    <x v="13"/>
    <x v="50"/>
    <x v="10"/>
    <s v="Yes"/>
    <n v="5.3"/>
    <n v="6"/>
    <x v="1"/>
    <n v="3"/>
    <n v="7"/>
  </r>
  <r>
    <n v="459"/>
    <x v="2"/>
    <x v="0"/>
    <x v="0"/>
    <x v="10"/>
    <x v="24"/>
    <x v="0"/>
    <s v="No"/>
    <n v="8.8000000000000007"/>
    <n v="7"/>
    <x v="0"/>
    <n v="2"/>
    <n v="5"/>
  </r>
  <r>
    <n v="460"/>
    <x v="1"/>
    <x v="1"/>
    <x v="1"/>
    <x v="4"/>
    <x v="8"/>
    <x v="2"/>
    <s v="Yes"/>
    <n v="8.1999999999999993"/>
    <n v="6"/>
    <x v="1"/>
    <n v="3"/>
    <n v="7"/>
  </r>
  <r>
    <n v="461"/>
    <x v="0"/>
    <x v="0"/>
    <x v="0"/>
    <x v="11"/>
    <x v="26"/>
    <x v="0"/>
    <s v="Yes"/>
    <n v="8.1"/>
    <n v="6"/>
    <x v="1"/>
    <n v="3"/>
    <n v="7"/>
  </r>
  <r>
    <n v="462"/>
    <x v="4"/>
    <x v="1"/>
    <x v="1"/>
    <x v="18"/>
    <x v="32"/>
    <x v="4"/>
    <s v="No"/>
    <n v="9.1999999999999993"/>
    <n v="8"/>
    <x v="0"/>
    <n v="2"/>
    <n v="4"/>
  </r>
  <r>
    <n v="463"/>
    <x v="2"/>
    <x v="0"/>
    <x v="0"/>
    <x v="25"/>
    <x v="18"/>
    <x v="2"/>
    <s v="Yes"/>
    <n v="8.4"/>
    <n v="7"/>
    <x v="1"/>
    <n v="3"/>
    <n v="6"/>
  </r>
  <r>
    <n v="464"/>
    <x v="1"/>
    <x v="1"/>
    <x v="1"/>
    <x v="1"/>
    <x v="5"/>
    <x v="10"/>
    <s v="Yes"/>
    <n v="5.0999999999999996"/>
    <n v="5"/>
    <x v="0"/>
    <n v="4"/>
    <n v="8"/>
  </r>
  <r>
    <n v="465"/>
    <x v="0"/>
    <x v="0"/>
    <x v="0"/>
    <x v="21"/>
    <x v="21"/>
    <x v="0"/>
    <s v="No"/>
    <n v="9.3000000000000007"/>
    <n v="8"/>
    <x v="1"/>
    <n v="2"/>
    <n v="4"/>
  </r>
  <r>
    <n v="466"/>
    <x v="4"/>
    <x v="1"/>
    <x v="1"/>
    <x v="35"/>
    <x v="45"/>
    <x v="0"/>
    <s v="Yes"/>
    <n v="8.1"/>
    <n v="6"/>
    <x v="1"/>
    <n v="3"/>
    <n v="7"/>
  </r>
  <r>
    <n v="467"/>
    <x v="2"/>
    <x v="0"/>
    <x v="0"/>
    <x v="2"/>
    <x v="63"/>
    <x v="2"/>
    <s v="Yes"/>
    <n v="4.0999999999999996"/>
    <n v="5"/>
    <x v="0"/>
    <n v="4"/>
    <n v="9"/>
  </r>
  <r>
    <n v="468"/>
    <x v="1"/>
    <x v="1"/>
    <x v="1"/>
    <x v="13"/>
    <x v="48"/>
    <x v="10"/>
    <s v="Yes"/>
    <n v="5.2"/>
    <n v="6"/>
    <x v="1"/>
    <n v="3"/>
    <n v="7"/>
  </r>
  <r>
    <n v="469"/>
    <x v="0"/>
    <x v="0"/>
    <x v="0"/>
    <x v="10"/>
    <x v="34"/>
    <x v="0"/>
    <s v="No"/>
    <n v="8.9"/>
    <n v="7"/>
    <x v="0"/>
    <n v="2"/>
    <n v="5"/>
  </r>
  <r>
    <n v="470"/>
    <x v="4"/>
    <x v="1"/>
    <x v="1"/>
    <x v="4"/>
    <x v="36"/>
    <x v="0"/>
    <s v="Yes"/>
    <n v="8.3000000000000007"/>
    <n v="6"/>
    <x v="1"/>
    <n v="3"/>
    <n v="7"/>
  </r>
  <r>
    <n v="471"/>
    <x v="2"/>
    <x v="0"/>
    <x v="0"/>
    <x v="11"/>
    <x v="14"/>
    <x v="2"/>
    <s v="Yes"/>
    <n v="8.1999999999999993"/>
    <n v="6"/>
    <x v="1"/>
    <n v="3"/>
    <n v="7"/>
  </r>
  <r>
    <n v="472"/>
    <x v="1"/>
    <x v="1"/>
    <x v="1"/>
    <x v="18"/>
    <x v="21"/>
    <x v="4"/>
    <s v="No"/>
    <n v="9.3000000000000007"/>
    <n v="8"/>
    <x v="0"/>
    <n v="2"/>
    <n v="4"/>
  </r>
  <r>
    <n v="473"/>
    <x v="0"/>
    <x v="0"/>
    <x v="0"/>
    <x v="25"/>
    <x v="46"/>
    <x v="0"/>
    <s v="Yes"/>
    <n v="8.5"/>
    <n v="7"/>
    <x v="1"/>
    <n v="3"/>
    <n v="6"/>
  </r>
  <r>
    <n v="474"/>
    <x v="4"/>
    <x v="1"/>
    <x v="1"/>
    <x v="1"/>
    <x v="54"/>
    <x v="10"/>
    <s v="Yes"/>
    <n v="5"/>
    <n v="5"/>
    <x v="0"/>
    <n v="4"/>
    <n v="8"/>
  </r>
  <r>
    <n v="475"/>
    <x v="2"/>
    <x v="0"/>
    <x v="0"/>
    <x v="21"/>
    <x v="41"/>
    <x v="0"/>
    <s v="No"/>
    <n v="9.4"/>
    <n v="8"/>
    <x v="1"/>
    <n v="2"/>
    <n v="4"/>
  </r>
  <r>
    <n v="476"/>
    <x v="1"/>
    <x v="1"/>
    <x v="1"/>
    <x v="35"/>
    <x v="8"/>
    <x v="2"/>
    <s v="Yes"/>
    <n v="8.1999999999999993"/>
    <n v="6"/>
    <x v="1"/>
    <n v="3"/>
    <n v="7"/>
  </r>
  <r>
    <n v="477"/>
    <x v="0"/>
    <x v="0"/>
    <x v="0"/>
    <x v="2"/>
    <x v="64"/>
    <x v="0"/>
    <s v="Yes"/>
    <n v="4"/>
    <n v="5"/>
    <x v="0"/>
    <n v="4"/>
    <n v="9"/>
  </r>
  <r>
    <n v="478"/>
    <x v="4"/>
    <x v="1"/>
    <x v="1"/>
    <x v="13"/>
    <x v="53"/>
    <x v="10"/>
    <s v="Yes"/>
    <n v="5.0999999999999996"/>
    <n v="6"/>
    <x v="1"/>
    <n v="3"/>
    <n v="7"/>
  </r>
  <r>
    <n v="479"/>
    <x v="2"/>
    <x v="0"/>
    <x v="0"/>
    <x v="10"/>
    <x v="3"/>
    <x v="0"/>
    <s v="No"/>
    <n v="9"/>
    <n v="7"/>
    <x v="0"/>
    <n v="2"/>
    <n v="5"/>
  </r>
  <r>
    <n v="480"/>
    <x v="1"/>
    <x v="1"/>
    <x v="1"/>
    <x v="4"/>
    <x v="26"/>
    <x v="2"/>
    <s v="Yes"/>
    <n v="8.4"/>
    <n v="6"/>
    <x v="1"/>
    <n v="3"/>
    <n v="7"/>
  </r>
  <r>
    <n v="481"/>
    <x v="0"/>
    <x v="0"/>
    <x v="0"/>
    <x v="11"/>
    <x v="30"/>
    <x v="0"/>
    <s v="Yes"/>
    <n v="8.3000000000000007"/>
    <n v="6"/>
    <x v="1"/>
    <n v="3"/>
    <n v="7"/>
  </r>
  <r>
    <n v="482"/>
    <x v="4"/>
    <x v="1"/>
    <x v="1"/>
    <x v="18"/>
    <x v="41"/>
    <x v="4"/>
    <s v="No"/>
    <n v="9.4"/>
    <n v="8"/>
    <x v="0"/>
    <n v="2"/>
    <n v="4"/>
  </r>
  <r>
    <n v="483"/>
    <x v="2"/>
    <x v="0"/>
    <x v="0"/>
    <x v="25"/>
    <x v="9"/>
    <x v="2"/>
    <s v="Yes"/>
    <n v="8.6"/>
    <n v="7"/>
    <x v="1"/>
    <n v="3"/>
    <n v="6"/>
  </r>
  <r>
    <n v="484"/>
    <x v="1"/>
    <x v="1"/>
    <x v="1"/>
    <x v="1"/>
    <x v="55"/>
    <x v="10"/>
    <s v="Yes"/>
    <n v="4.9000000000000004"/>
    <n v="5"/>
    <x v="0"/>
    <n v="4"/>
    <n v="8"/>
  </r>
  <r>
    <n v="485"/>
    <x v="0"/>
    <x v="0"/>
    <x v="0"/>
    <x v="21"/>
    <x v="37"/>
    <x v="0"/>
    <s v="No"/>
    <n v="9.5"/>
    <n v="8"/>
    <x v="1"/>
    <n v="2"/>
    <n v="4"/>
  </r>
  <r>
    <n v="486"/>
    <x v="4"/>
    <x v="1"/>
    <x v="1"/>
    <x v="35"/>
    <x v="36"/>
    <x v="0"/>
    <s v="Yes"/>
    <n v="8.3000000000000007"/>
    <n v="6"/>
    <x v="1"/>
    <n v="3"/>
    <n v="7"/>
  </r>
  <r>
    <n v="487"/>
    <x v="2"/>
    <x v="0"/>
    <x v="0"/>
    <x v="2"/>
    <x v="65"/>
    <x v="2"/>
    <s v="Yes"/>
    <n v="3.9"/>
    <n v="5"/>
    <x v="0"/>
    <n v="4"/>
    <n v="9"/>
  </r>
  <r>
    <n v="488"/>
    <x v="1"/>
    <x v="1"/>
    <x v="1"/>
    <x v="13"/>
    <x v="5"/>
    <x v="10"/>
    <s v="Yes"/>
    <n v="5"/>
    <n v="6"/>
    <x v="1"/>
    <n v="3"/>
    <n v="7"/>
  </r>
  <r>
    <n v="489"/>
    <x v="0"/>
    <x v="0"/>
    <x v="0"/>
    <x v="10"/>
    <x v="42"/>
    <x v="0"/>
    <s v="No"/>
    <n v="9.1"/>
    <n v="7"/>
    <x v="0"/>
    <n v="2"/>
    <n v="5"/>
  </r>
  <r>
    <n v="490"/>
    <x v="4"/>
    <x v="1"/>
    <x v="1"/>
    <x v="4"/>
    <x v="14"/>
    <x v="0"/>
    <s v="Yes"/>
    <n v="8.5"/>
    <n v="6"/>
    <x v="1"/>
    <n v="3"/>
    <n v="7"/>
  </r>
  <r>
    <n v="491"/>
    <x v="2"/>
    <x v="0"/>
    <x v="0"/>
    <x v="11"/>
    <x v="18"/>
    <x v="2"/>
    <s v="Yes"/>
    <n v="8.4"/>
    <n v="6"/>
    <x v="1"/>
    <n v="3"/>
    <n v="7"/>
  </r>
  <r>
    <n v="492"/>
    <x v="1"/>
    <x v="1"/>
    <x v="1"/>
    <x v="18"/>
    <x v="37"/>
    <x v="4"/>
    <s v="No"/>
    <n v="9.5"/>
    <n v="8"/>
    <x v="0"/>
    <n v="2"/>
    <n v="4"/>
  </r>
  <r>
    <n v="493"/>
    <x v="0"/>
    <x v="0"/>
    <x v="0"/>
    <x v="25"/>
    <x v="24"/>
    <x v="0"/>
    <s v="Yes"/>
    <n v="8.6999999999999993"/>
    <n v="7"/>
    <x v="1"/>
    <n v="3"/>
    <n v="6"/>
  </r>
  <r>
    <n v="494"/>
    <x v="4"/>
    <x v="1"/>
    <x v="1"/>
    <x v="1"/>
    <x v="56"/>
    <x v="10"/>
    <s v="Yes"/>
    <n v="4.8"/>
    <n v="5"/>
    <x v="0"/>
    <n v="4"/>
    <n v="8"/>
  </r>
  <r>
    <n v="495"/>
    <x v="2"/>
    <x v="0"/>
    <x v="0"/>
    <x v="21"/>
    <x v="28"/>
    <x v="0"/>
    <s v="No"/>
    <n v="9.6"/>
    <n v="8"/>
    <x v="1"/>
    <n v="2"/>
    <n v="4"/>
  </r>
  <r>
    <n v="496"/>
    <x v="1"/>
    <x v="1"/>
    <x v="1"/>
    <x v="35"/>
    <x v="26"/>
    <x v="2"/>
    <s v="Yes"/>
    <n v="8.4"/>
    <n v="6"/>
    <x v="1"/>
    <n v="3"/>
    <n v="7"/>
  </r>
  <r>
    <n v="497"/>
    <x v="0"/>
    <x v="0"/>
    <x v="0"/>
    <x v="2"/>
    <x v="66"/>
    <x v="0"/>
    <s v="Yes"/>
    <n v="3.8"/>
    <n v="5"/>
    <x v="0"/>
    <n v="4"/>
    <n v="9"/>
  </r>
  <r>
    <n v="498"/>
    <x v="4"/>
    <x v="1"/>
    <x v="1"/>
    <x v="13"/>
    <x v="54"/>
    <x v="10"/>
    <s v="Yes"/>
    <n v="4.9000000000000004"/>
    <n v="6"/>
    <x v="1"/>
    <n v="3"/>
    <n v="7"/>
  </r>
  <r>
    <n v="499"/>
    <x v="2"/>
    <x v="0"/>
    <x v="0"/>
    <x v="10"/>
    <x v="12"/>
    <x v="0"/>
    <s v="No"/>
    <n v="9.1999999999999993"/>
    <n v="7"/>
    <x v="0"/>
    <n v="2"/>
    <n v="5"/>
  </r>
  <r>
    <n v="500"/>
    <x v="1"/>
    <x v="1"/>
    <x v="1"/>
    <x v="4"/>
    <x v="30"/>
    <x v="2"/>
    <s v="Yes"/>
    <n v="8.6"/>
    <n v="6"/>
    <x v="1"/>
    <n v="3"/>
    <n v="7"/>
  </r>
  <r>
    <n v="501"/>
    <x v="0"/>
    <x v="0"/>
    <x v="0"/>
    <x v="7"/>
    <x v="35"/>
    <x v="10"/>
    <s v="Yes"/>
    <n v="6.3"/>
    <n v="6"/>
    <x v="1"/>
    <n v="3"/>
    <n v="7"/>
  </r>
  <r>
    <n v="502"/>
    <x v="4"/>
    <x v="1"/>
    <x v="1"/>
    <x v="15"/>
    <x v="4"/>
    <x v="11"/>
    <s v="No"/>
    <n v="7.8"/>
    <n v="7"/>
    <x v="0"/>
    <n v="2"/>
    <n v="5"/>
  </r>
  <r>
    <n v="503"/>
    <x v="2"/>
    <x v="0"/>
    <x v="0"/>
    <x v="19"/>
    <x v="26"/>
    <x v="0"/>
    <s v="No"/>
    <n v="8.1999999999999993"/>
    <n v="8"/>
    <x v="1"/>
    <n v="2"/>
    <n v="4"/>
  </r>
  <r>
    <n v="504"/>
    <x v="1"/>
    <x v="1"/>
    <x v="1"/>
    <x v="26"/>
    <x v="19"/>
    <x v="0"/>
    <s v="Yes"/>
    <n v="7.5"/>
    <n v="7"/>
    <x v="0"/>
    <n v="3"/>
    <n v="6"/>
  </r>
  <r>
    <n v="505"/>
    <x v="0"/>
    <x v="0"/>
    <x v="0"/>
    <x v="27"/>
    <x v="43"/>
    <x v="2"/>
    <s v="Yes"/>
    <n v="7"/>
    <n v="6"/>
    <x v="1"/>
    <n v="3"/>
    <n v="7"/>
  </r>
  <r>
    <n v="506"/>
    <x v="4"/>
    <x v="1"/>
    <x v="1"/>
    <x v="28"/>
    <x v="11"/>
    <x v="10"/>
    <s v="Yes"/>
    <n v="6.8"/>
    <n v="6"/>
    <x v="1"/>
    <n v="3"/>
    <n v="7"/>
  </r>
  <r>
    <n v="507"/>
    <x v="2"/>
    <x v="0"/>
    <x v="0"/>
    <x v="37"/>
    <x v="13"/>
    <x v="0"/>
    <s v="Yes"/>
    <n v="6.5"/>
    <n v="5"/>
    <x v="0"/>
    <n v="4"/>
    <n v="8"/>
  </r>
  <r>
    <n v="508"/>
    <x v="1"/>
    <x v="1"/>
    <x v="1"/>
    <x v="60"/>
    <x v="15"/>
    <x v="4"/>
    <s v="No"/>
    <n v="7.9"/>
    <n v="7"/>
    <x v="1"/>
    <n v="2"/>
    <n v="5"/>
  </r>
  <r>
    <n v="509"/>
    <x v="0"/>
    <x v="0"/>
    <x v="0"/>
    <x v="1"/>
    <x v="49"/>
    <x v="10"/>
    <s v="Yes"/>
    <n v="6"/>
    <n v="5"/>
    <x v="0"/>
    <n v="4"/>
    <n v="8"/>
  </r>
  <r>
    <n v="510"/>
    <x v="4"/>
    <x v="1"/>
    <x v="1"/>
    <x v="4"/>
    <x v="10"/>
    <x v="0"/>
    <s v="Yes"/>
    <n v="7.4"/>
    <n v="7"/>
    <x v="1"/>
    <n v="3"/>
    <n v="6"/>
  </r>
  <r>
    <n v="511"/>
    <x v="2"/>
    <x v="0"/>
    <x v="0"/>
    <x v="7"/>
    <x v="25"/>
    <x v="0"/>
    <s v="Yes"/>
    <n v="6.4"/>
    <n v="6"/>
    <x v="1"/>
    <n v="3"/>
    <n v="7"/>
  </r>
  <r>
    <n v="512"/>
    <x v="1"/>
    <x v="1"/>
    <x v="1"/>
    <x v="15"/>
    <x v="27"/>
    <x v="11"/>
    <s v="No"/>
    <n v="7.9"/>
    <n v="7"/>
    <x v="0"/>
    <n v="2"/>
    <n v="5"/>
  </r>
  <r>
    <n v="513"/>
    <x v="0"/>
    <x v="0"/>
    <x v="0"/>
    <x v="19"/>
    <x v="14"/>
    <x v="2"/>
    <s v="No"/>
    <n v="8.3000000000000007"/>
    <n v="8"/>
    <x v="1"/>
    <n v="2"/>
    <n v="4"/>
  </r>
  <r>
    <n v="514"/>
    <x v="4"/>
    <x v="1"/>
    <x v="1"/>
    <x v="26"/>
    <x v="38"/>
    <x v="0"/>
    <s v="Yes"/>
    <n v="7.6"/>
    <n v="7"/>
    <x v="0"/>
    <n v="3"/>
    <n v="6"/>
  </r>
  <r>
    <n v="515"/>
    <x v="2"/>
    <x v="0"/>
    <x v="0"/>
    <x v="27"/>
    <x v="0"/>
    <x v="2"/>
    <s v="Yes"/>
    <n v="6.9"/>
    <n v="6"/>
    <x v="1"/>
    <n v="3"/>
    <n v="7"/>
  </r>
  <r>
    <n v="516"/>
    <x v="1"/>
    <x v="1"/>
    <x v="1"/>
    <x v="28"/>
    <x v="33"/>
    <x v="10"/>
    <s v="Yes"/>
    <n v="6.7"/>
    <n v="6"/>
    <x v="1"/>
    <n v="3"/>
    <n v="7"/>
  </r>
  <r>
    <n v="517"/>
    <x v="0"/>
    <x v="0"/>
    <x v="0"/>
    <x v="37"/>
    <x v="52"/>
    <x v="0"/>
    <s v="Yes"/>
    <n v="6.4"/>
    <n v="5"/>
    <x v="0"/>
    <n v="4"/>
    <n v="8"/>
  </r>
  <r>
    <n v="518"/>
    <x v="4"/>
    <x v="1"/>
    <x v="1"/>
    <x v="60"/>
    <x v="45"/>
    <x v="4"/>
    <s v="No"/>
    <n v="8"/>
    <n v="7"/>
    <x v="1"/>
    <n v="2"/>
    <n v="5"/>
  </r>
  <r>
    <n v="519"/>
    <x v="2"/>
    <x v="0"/>
    <x v="0"/>
    <x v="1"/>
    <x v="50"/>
    <x v="10"/>
    <s v="Yes"/>
    <n v="5.9"/>
    <n v="5"/>
    <x v="0"/>
    <n v="4"/>
    <n v="8"/>
  </r>
  <r>
    <n v="520"/>
    <x v="1"/>
    <x v="1"/>
    <x v="1"/>
    <x v="4"/>
    <x v="19"/>
    <x v="2"/>
    <s v="Yes"/>
    <n v="7.5"/>
    <n v="7"/>
    <x v="1"/>
    <n v="3"/>
    <n v="6"/>
  </r>
  <r>
    <n v="521"/>
    <x v="0"/>
    <x v="0"/>
    <x v="0"/>
    <x v="7"/>
    <x v="2"/>
    <x v="10"/>
    <s v="Yes"/>
    <n v="6.5"/>
    <n v="6"/>
    <x v="1"/>
    <n v="3"/>
    <n v="7"/>
  </r>
  <r>
    <n v="522"/>
    <x v="4"/>
    <x v="1"/>
    <x v="1"/>
    <x v="15"/>
    <x v="44"/>
    <x v="11"/>
    <s v="No"/>
    <n v="8"/>
    <n v="7"/>
    <x v="0"/>
    <n v="2"/>
    <n v="5"/>
  </r>
  <r>
    <n v="523"/>
    <x v="2"/>
    <x v="0"/>
    <x v="0"/>
    <x v="19"/>
    <x v="30"/>
    <x v="0"/>
    <s v="No"/>
    <n v="8.4"/>
    <n v="8"/>
    <x v="1"/>
    <n v="2"/>
    <n v="4"/>
  </r>
  <r>
    <n v="524"/>
    <x v="1"/>
    <x v="1"/>
    <x v="1"/>
    <x v="26"/>
    <x v="4"/>
    <x v="4"/>
    <s v="Yes"/>
    <n v="7.7"/>
    <n v="7"/>
    <x v="0"/>
    <n v="3"/>
    <n v="6"/>
  </r>
  <r>
    <n v="525"/>
    <x v="0"/>
    <x v="0"/>
    <x v="0"/>
    <x v="27"/>
    <x v="20"/>
    <x v="2"/>
    <s v="Yes"/>
    <n v="6.8"/>
    <n v="6"/>
    <x v="1"/>
    <n v="3"/>
    <n v="7"/>
  </r>
  <r>
    <n v="526"/>
    <x v="4"/>
    <x v="1"/>
    <x v="1"/>
    <x v="28"/>
    <x v="23"/>
    <x v="10"/>
    <s v="Yes"/>
    <n v="6.6"/>
    <n v="6"/>
    <x v="1"/>
    <n v="3"/>
    <n v="7"/>
  </r>
  <r>
    <n v="527"/>
    <x v="2"/>
    <x v="0"/>
    <x v="0"/>
    <x v="37"/>
    <x v="51"/>
    <x v="0"/>
    <s v="Yes"/>
    <n v="6.3"/>
    <n v="5"/>
    <x v="0"/>
    <n v="4"/>
    <n v="8"/>
  </r>
  <r>
    <n v="528"/>
    <x v="1"/>
    <x v="1"/>
    <x v="1"/>
    <x v="60"/>
    <x v="8"/>
    <x v="4"/>
    <s v="No"/>
    <n v="8.1"/>
    <n v="7"/>
    <x v="1"/>
    <n v="2"/>
    <n v="5"/>
  </r>
  <r>
    <n v="529"/>
    <x v="0"/>
    <x v="0"/>
    <x v="0"/>
    <x v="1"/>
    <x v="48"/>
    <x v="10"/>
    <s v="Yes"/>
    <n v="5.8"/>
    <n v="5"/>
    <x v="0"/>
    <n v="4"/>
    <n v="8"/>
  </r>
  <r>
    <n v="530"/>
    <x v="4"/>
    <x v="1"/>
    <x v="1"/>
    <x v="4"/>
    <x v="38"/>
    <x v="0"/>
    <s v="Yes"/>
    <n v="7.6"/>
    <n v="7"/>
    <x v="1"/>
    <n v="3"/>
    <n v="6"/>
  </r>
  <r>
    <n v="531"/>
    <x v="2"/>
    <x v="0"/>
    <x v="0"/>
    <x v="7"/>
    <x v="29"/>
    <x v="2"/>
    <s v="Yes"/>
    <n v="6.6"/>
    <n v="6"/>
    <x v="1"/>
    <n v="3"/>
    <n v="7"/>
  </r>
  <r>
    <n v="532"/>
    <x v="1"/>
    <x v="1"/>
    <x v="1"/>
    <x v="15"/>
    <x v="15"/>
    <x v="11"/>
    <s v="No"/>
    <n v="8.1"/>
    <n v="7"/>
    <x v="0"/>
    <n v="2"/>
    <n v="5"/>
  </r>
  <r>
    <n v="533"/>
    <x v="0"/>
    <x v="0"/>
    <x v="0"/>
    <x v="19"/>
    <x v="18"/>
    <x v="0"/>
    <s v="No"/>
    <n v="8.5"/>
    <n v="8"/>
    <x v="1"/>
    <n v="2"/>
    <n v="4"/>
  </r>
  <r>
    <n v="534"/>
    <x v="4"/>
    <x v="1"/>
    <x v="1"/>
    <x v="26"/>
    <x v="27"/>
    <x v="4"/>
    <s v="Yes"/>
    <n v="7.8"/>
    <n v="7"/>
    <x v="0"/>
    <n v="3"/>
    <n v="6"/>
  </r>
  <r>
    <n v="535"/>
    <x v="2"/>
    <x v="0"/>
    <x v="0"/>
    <x v="27"/>
    <x v="31"/>
    <x v="2"/>
    <s v="Yes"/>
    <n v="6.7"/>
    <n v="6"/>
    <x v="1"/>
    <n v="3"/>
    <n v="7"/>
  </r>
  <r>
    <n v="536"/>
    <x v="1"/>
    <x v="1"/>
    <x v="1"/>
    <x v="28"/>
    <x v="7"/>
    <x v="10"/>
    <s v="Yes"/>
    <n v="6.5"/>
    <n v="6"/>
    <x v="1"/>
    <n v="3"/>
    <n v="7"/>
  </r>
  <r>
    <n v="537"/>
    <x v="0"/>
    <x v="0"/>
    <x v="0"/>
    <x v="37"/>
    <x v="49"/>
    <x v="0"/>
    <s v="Yes"/>
    <n v="6.2"/>
    <n v="5"/>
    <x v="0"/>
    <n v="4"/>
    <n v="8"/>
  </r>
  <r>
    <n v="538"/>
    <x v="4"/>
    <x v="1"/>
    <x v="1"/>
    <x v="60"/>
    <x v="36"/>
    <x v="4"/>
    <s v="No"/>
    <n v="8.1999999999999993"/>
    <n v="7"/>
    <x v="1"/>
    <n v="2"/>
    <n v="5"/>
  </r>
  <r>
    <n v="539"/>
    <x v="2"/>
    <x v="0"/>
    <x v="0"/>
    <x v="1"/>
    <x v="53"/>
    <x v="10"/>
    <s v="Yes"/>
    <n v="5.7"/>
    <n v="5"/>
    <x v="0"/>
    <n v="4"/>
    <n v="8"/>
  </r>
  <r>
    <n v="540"/>
    <x v="1"/>
    <x v="1"/>
    <x v="1"/>
    <x v="4"/>
    <x v="4"/>
    <x v="2"/>
    <s v="Yes"/>
    <n v="7.7"/>
    <n v="7"/>
    <x v="1"/>
    <n v="3"/>
    <n v="6"/>
  </r>
  <r>
    <n v="541"/>
    <x v="0"/>
    <x v="0"/>
    <x v="0"/>
    <x v="7"/>
    <x v="7"/>
    <x v="10"/>
    <s v="Yes"/>
    <n v="6.7"/>
    <n v="6"/>
    <x v="1"/>
    <n v="3"/>
    <n v="7"/>
  </r>
  <r>
    <n v="542"/>
    <x v="4"/>
    <x v="1"/>
    <x v="1"/>
    <x v="15"/>
    <x v="45"/>
    <x v="11"/>
    <s v="No"/>
    <n v="8.1999999999999993"/>
    <n v="7"/>
    <x v="0"/>
    <n v="2"/>
    <n v="5"/>
  </r>
  <r>
    <n v="543"/>
    <x v="2"/>
    <x v="0"/>
    <x v="0"/>
    <x v="19"/>
    <x v="46"/>
    <x v="0"/>
    <s v="No"/>
    <n v="8.6"/>
    <n v="8"/>
    <x v="1"/>
    <n v="2"/>
    <n v="4"/>
  </r>
  <r>
    <n v="544"/>
    <x v="1"/>
    <x v="1"/>
    <x v="1"/>
    <x v="26"/>
    <x v="44"/>
    <x v="0"/>
    <s v="Yes"/>
    <n v="7.9"/>
    <n v="7"/>
    <x v="0"/>
    <n v="3"/>
    <n v="6"/>
  </r>
  <r>
    <n v="545"/>
    <x v="0"/>
    <x v="0"/>
    <x v="0"/>
    <x v="27"/>
    <x v="11"/>
    <x v="2"/>
    <s v="Yes"/>
    <n v="6.6"/>
    <n v="6"/>
    <x v="1"/>
    <n v="3"/>
    <n v="7"/>
  </r>
  <r>
    <n v="546"/>
    <x v="4"/>
    <x v="1"/>
    <x v="1"/>
    <x v="28"/>
    <x v="29"/>
    <x v="10"/>
    <s v="Yes"/>
    <n v="6.4"/>
    <n v="6"/>
    <x v="1"/>
    <n v="3"/>
    <n v="7"/>
  </r>
  <r>
    <n v="547"/>
    <x v="2"/>
    <x v="0"/>
    <x v="0"/>
    <x v="37"/>
    <x v="50"/>
    <x v="0"/>
    <s v="Yes"/>
    <n v="6.1"/>
    <n v="5"/>
    <x v="0"/>
    <n v="4"/>
    <n v="8"/>
  </r>
  <r>
    <n v="548"/>
    <x v="1"/>
    <x v="1"/>
    <x v="1"/>
    <x v="60"/>
    <x v="26"/>
    <x v="4"/>
    <s v="No"/>
    <n v="8.3000000000000007"/>
    <n v="7"/>
    <x v="1"/>
    <n v="2"/>
    <n v="5"/>
  </r>
  <r>
    <n v="549"/>
    <x v="0"/>
    <x v="0"/>
    <x v="0"/>
    <x v="1"/>
    <x v="5"/>
    <x v="10"/>
    <s v="Yes"/>
    <n v="5.6"/>
    <n v="5"/>
    <x v="0"/>
    <n v="4"/>
    <n v="8"/>
  </r>
  <r>
    <n v="550"/>
    <x v="4"/>
    <x v="1"/>
    <x v="1"/>
    <x v="4"/>
    <x v="27"/>
    <x v="0"/>
    <s v="Yes"/>
    <n v="7.8"/>
    <n v="7"/>
    <x v="1"/>
    <n v="3"/>
    <n v="6"/>
  </r>
  <r>
    <n v="551"/>
    <x v="2"/>
    <x v="0"/>
    <x v="0"/>
    <x v="7"/>
    <x v="23"/>
    <x v="2"/>
    <s v="Yes"/>
    <n v="6.8"/>
    <n v="6"/>
    <x v="1"/>
    <n v="3"/>
    <n v="7"/>
  </r>
  <r>
    <n v="552"/>
    <x v="1"/>
    <x v="1"/>
    <x v="1"/>
    <x v="15"/>
    <x v="8"/>
    <x v="11"/>
    <s v="No"/>
    <n v="8.3000000000000007"/>
    <n v="7"/>
    <x v="0"/>
    <n v="2"/>
    <n v="5"/>
  </r>
  <r>
    <n v="553"/>
    <x v="0"/>
    <x v="0"/>
    <x v="0"/>
    <x v="19"/>
    <x v="9"/>
    <x v="0"/>
    <s v="No"/>
    <n v="8.6999999999999993"/>
    <n v="8"/>
    <x v="1"/>
    <n v="2"/>
    <n v="4"/>
  </r>
  <r>
    <n v="554"/>
    <x v="4"/>
    <x v="1"/>
    <x v="1"/>
    <x v="26"/>
    <x v="15"/>
    <x v="4"/>
    <s v="Yes"/>
    <n v="8"/>
    <n v="7"/>
    <x v="0"/>
    <n v="3"/>
    <n v="6"/>
  </r>
  <r>
    <n v="555"/>
    <x v="2"/>
    <x v="0"/>
    <x v="0"/>
    <x v="27"/>
    <x v="33"/>
    <x v="2"/>
    <s v="Yes"/>
    <n v="6.5"/>
    <n v="6"/>
    <x v="1"/>
    <n v="3"/>
    <n v="7"/>
  </r>
  <r>
    <n v="556"/>
    <x v="1"/>
    <x v="1"/>
    <x v="1"/>
    <x v="28"/>
    <x v="2"/>
    <x v="10"/>
    <s v="Yes"/>
    <n v="6.3"/>
    <n v="6"/>
    <x v="1"/>
    <n v="3"/>
    <n v="7"/>
  </r>
  <r>
    <n v="557"/>
    <x v="0"/>
    <x v="0"/>
    <x v="0"/>
    <x v="37"/>
    <x v="48"/>
    <x v="0"/>
    <s v="Yes"/>
    <n v="6"/>
    <n v="5"/>
    <x v="0"/>
    <n v="4"/>
    <n v="8"/>
  </r>
  <r>
    <n v="558"/>
    <x v="4"/>
    <x v="1"/>
    <x v="1"/>
    <x v="60"/>
    <x v="14"/>
    <x v="4"/>
    <s v="No"/>
    <n v="8.4"/>
    <n v="7"/>
    <x v="1"/>
    <n v="2"/>
    <n v="5"/>
  </r>
  <r>
    <n v="559"/>
    <x v="2"/>
    <x v="0"/>
    <x v="0"/>
    <x v="1"/>
    <x v="54"/>
    <x v="10"/>
    <s v="Yes"/>
    <n v="5.5"/>
    <n v="5"/>
    <x v="0"/>
    <n v="4"/>
    <n v="8"/>
  </r>
  <r>
    <n v="560"/>
    <x v="1"/>
    <x v="1"/>
    <x v="1"/>
    <x v="4"/>
    <x v="44"/>
    <x v="2"/>
    <s v="Yes"/>
    <n v="7.9"/>
    <n v="7"/>
    <x v="1"/>
    <n v="3"/>
    <n v="6"/>
  </r>
  <r>
    <n v="561"/>
    <x v="0"/>
    <x v="0"/>
    <x v="0"/>
    <x v="7"/>
    <x v="33"/>
    <x v="10"/>
    <s v="Yes"/>
    <n v="6.9"/>
    <n v="6"/>
    <x v="1"/>
    <n v="3"/>
    <n v="7"/>
  </r>
  <r>
    <n v="562"/>
    <x v="4"/>
    <x v="1"/>
    <x v="1"/>
    <x v="15"/>
    <x v="36"/>
    <x v="11"/>
    <s v="No"/>
    <n v="8.4"/>
    <n v="7"/>
    <x v="0"/>
    <n v="2"/>
    <n v="5"/>
  </r>
  <r>
    <n v="563"/>
    <x v="2"/>
    <x v="0"/>
    <x v="0"/>
    <x v="19"/>
    <x v="24"/>
    <x v="0"/>
    <s v="No"/>
    <n v="8.8000000000000007"/>
    <n v="8"/>
    <x v="1"/>
    <n v="2"/>
    <n v="4"/>
  </r>
  <r>
    <n v="564"/>
    <x v="1"/>
    <x v="1"/>
    <x v="1"/>
    <x v="26"/>
    <x v="45"/>
    <x v="0"/>
    <s v="Yes"/>
    <n v="8.1"/>
    <n v="7"/>
    <x v="0"/>
    <n v="3"/>
    <n v="6"/>
  </r>
  <r>
    <n v="565"/>
    <x v="0"/>
    <x v="0"/>
    <x v="0"/>
    <x v="27"/>
    <x v="23"/>
    <x v="2"/>
    <s v="Yes"/>
    <n v="6.4"/>
    <n v="6"/>
    <x v="1"/>
    <n v="3"/>
    <n v="7"/>
  </r>
  <r>
    <n v="566"/>
    <x v="4"/>
    <x v="1"/>
    <x v="1"/>
    <x v="28"/>
    <x v="25"/>
    <x v="10"/>
    <s v="Yes"/>
    <n v="6.2"/>
    <n v="6"/>
    <x v="1"/>
    <n v="3"/>
    <n v="7"/>
  </r>
  <r>
    <n v="567"/>
    <x v="2"/>
    <x v="0"/>
    <x v="0"/>
    <x v="37"/>
    <x v="53"/>
    <x v="0"/>
    <s v="Yes"/>
    <n v="5.9"/>
    <n v="5"/>
    <x v="0"/>
    <n v="4"/>
    <n v="8"/>
  </r>
  <r>
    <n v="568"/>
    <x v="1"/>
    <x v="1"/>
    <x v="1"/>
    <x v="60"/>
    <x v="30"/>
    <x v="4"/>
    <s v="No"/>
    <n v="8.5"/>
    <n v="7"/>
    <x v="1"/>
    <n v="2"/>
    <n v="5"/>
  </r>
  <r>
    <n v="569"/>
    <x v="0"/>
    <x v="0"/>
    <x v="0"/>
    <x v="1"/>
    <x v="55"/>
    <x v="10"/>
    <s v="Yes"/>
    <n v="5.4"/>
    <n v="5"/>
    <x v="0"/>
    <n v="4"/>
    <n v="8"/>
  </r>
  <r>
    <n v="570"/>
    <x v="4"/>
    <x v="1"/>
    <x v="1"/>
    <x v="4"/>
    <x v="15"/>
    <x v="0"/>
    <s v="Yes"/>
    <n v="8"/>
    <n v="7"/>
    <x v="1"/>
    <n v="3"/>
    <n v="6"/>
  </r>
  <r>
    <n v="571"/>
    <x v="2"/>
    <x v="0"/>
    <x v="0"/>
    <x v="11"/>
    <x v="25"/>
    <x v="0"/>
    <s v="Yes"/>
    <n v="7.2"/>
    <n v="5"/>
    <x v="1"/>
    <n v="4"/>
    <n v="7"/>
  </r>
  <r>
    <n v="572"/>
    <x v="5"/>
    <x v="1"/>
    <x v="1"/>
    <x v="18"/>
    <x v="26"/>
    <x v="1"/>
    <s v="No"/>
    <n v="7.8"/>
    <n v="8"/>
    <x v="0"/>
    <n v="2"/>
    <n v="4"/>
  </r>
  <r>
    <n v="573"/>
    <x v="0"/>
    <x v="0"/>
    <x v="0"/>
    <x v="25"/>
    <x v="11"/>
    <x v="2"/>
    <s v="Yes"/>
    <n v="6.8"/>
    <n v="6"/>
    <x v="1"/>
    <n v="4"/>
    <n v="8"/>
  </r>
  <r>
    <n v="574"/>
    <x v="1"/>
    <x v="1"/>
    <x v="1"/>
    <x v="1"/>
    <x v="5"/>
    <x v="4"/>
    <s v="Yes"/>
    <n v="5.9"/>
    <n v="4"/>
    <x v="1"/>
    <n v="5"/>
    <n v="9"/>
  </r>
  <r>
    <n v="575"/>
    <x v="4"/>
    <x v="0"/>
    <x v="0"/>
    <x v="21"/>
    <x v="15"/>
    <x v="0"/>
    <s v="No"/>
    <n v="7.5"/>
    <n v="7"/>
    <x v="0"/>
    <n v="2"/>
    <n v="5"/>
  </r>
  <r>
    <n v="576"/>
    <x v="6"/>
    <x v="1"/>
    <x v="1"/>
    <x v="35"/>
    <x v="49"/>
    <x v="2"/>
    <s v="Yes"/>
    <n v="6.2"/>
    <n v="5"/>
    <x v="1"/>
    <n v="4"/>
    <n v="8"/>
  </r>
  <r>
    <n v="577"/>
    <x v="2"/>
    <x v="0"/>
    <x v="0"/>
    <x v="2"/>
    <x v="29"/>
    <x v="0"/>
    <s v="Yes"/>
    <n v="6.7"/>
    <n v="6"/>
    <x v="0"/>
    <n v="3"/>
    <n v="7"/>
  </r>
  <r>
    <n v="578"/>
    <x v="1"/>
    <x v="1"/>
    <x v="1"/>
    <x v="13"/>
    <x v="13"/>
    <x v="4"/>
    <s v="Yes"/>
    <n v="6.1"/>
    <n v="5"/>
    <x v="1"/>
    <n v="4"/>
    <n v="8"/>
  </r>
  <r>
    <n v="579"/>
    <x v="0"/>
    <x v="0"/>
    <x v="0"/>
    <x v="10"/>
    <x v="19"/>
    <x v="1"/>
    <s v="No"/>
    <n v="7.4"/>
    <n v="7"/>
    <x v="1"/>
    <n v="2"/>
    <n v="5"/>
  </r>
  <r>
    <n v="580"/>
    <x v="5"/>
    <x v="1"/>
    <x v="1"/>
    <x v="4"/>
    <x v="0"/>
    <x v="0"/>
    <s v="Yes"/>
    <n v="7"/>
    <n v="6"/>
    <x v="0"/>
    <n v="3"/>
    <n v="6"/>
  </r>
  <r>
    <n v="581"/>
    <x v="4"/>
    <x v="0"/>
    <x v="0"/>
    <x v="3"/>
    <x v="40"/>
    <x v="2"/>
    <s v="Yes"/>
    <n v="6.4"/>
    <n v="5"/>
    <x v="1"/>
    <n v="4"/>
    <n v="8"/>
  </r>
  <r>
    <n v="582"/>
    <x v="6"/>
    <x v="1"/>
    <x v="1"/>
    <x v="12"/>
    <x v="22"/>
    <x v="4"/>
    <s v="No"/>
    <n v="7.3"/>
    <n v="7"/>
    <x v="0"/>
    <n v="2"/>
    <n v="5"/>
  </r>
  <r>
    <n v="583"/>
    <x v="2"/>
    <x v="0"/>
    <x v="0"/>
    <x v="14"/>
    <x v="51"/>
    <x v="0"/>
    <s v="Yes"/>
    <n v="6"/>
    <n v="5"/>
    <x v="1"/>
    <n v="4"/>
    <n v="8"/>
  </r>
  <r>
    <n v="584"/>
    <x v="1"/>
    <x v="1"/>
    <x v="1"/>
    <x v="15"/>
    <x v="7"/>
    <x v="11"/>
    <s v="Yes"/>
    <n v="6.5"/>
    <n v="6"/>
    <x v="0"/>
    <n v="3"/>
    <n v="7"/>
  </r>
  <r>
    <n v="585"/>
    <x v="0"/>
    <x v="0"/>
    <x v="0"/>
    <x v="8"/>
    <x v="4"/>
    <x v="1"/>
    <s v="No"/>
    <n v="7.6"/>
    <n v="8"/>
    <x v="1"/>
    <n v="2"/>
    <n v="4"/>
  </r>
  <r>
    <n v="586"/>
    <x v="5"/>
    <x v="1"/>
    <x v="1"/>
    <x v="60"/>
    <x v="47"/>
    <x v="4"/>
    <s v="Yes"/>
    <n v="6.3"/>
    <n v="5"/>
    <x v="1"/>
    <n v="4"/>
    <n v="8"/>
  </r>
  <r>
    <n v="587"/>
    <x v="4"/>
    <x v="0"/>
    <x v="0"/>
    <x v="59"/>
    <x v="45"/>
    <x v="0"/>
    <s v="No"/>
    <n v="7.7"/>
    <n v="7"/>
    <x v="0"/>
    <n v="2"/>
    <n v="5"/>
  </r>
  <r>
    <n v="588"/>
    <x v="6"/>
    <x v="1"/>
    <x v="1"/>
    <x v="11"/>
    <x v="52"/>
    <x v="2"/>
    <s v="Yes"/>
    <n v="6.2"/>
    <n v="5"/>
    <x v="1"/>
    <n v="4"/>
    <n v="8"/>
  </r>
  <r>
    <n v="589"/>
    <x v="2"/>
    <x v="0"/>
    <x v="0"/>
    <x v="18"/>
    <x v="27"/>
    <x v="0"/>
    <s v="No"/>
    <n v="7.4"/>
    <n v="7"/>
    <x v="0"/>
    <n v="2"/>
    <n v="5"/>
  </r>
  <r>
    <n v="590"/>
    <x v="1"/>
    <x v="1"/>
    <x v="1"/>
    <x v="25"/>
    <x v="23"/>
    <x v="1"/>
    <s v="Yes"/>
    <n v="6.8"/>
    <n v="6"/>
    <x v="1"/>
    <n v="3"/>
    <n v="7"/>
  </r>
  <r>
    <n v="591"/>
    <x v="0"/>
    <x v="0"/>
    <x v="0"/>
    <x v="1"/>
    <x v="48"/>
    <x v="0"/>
    <s v="Yes"/>
    <n v="5.8"/>
    <n v="4"/>
    <x v="1"/>
    <n v="5"/>
    <n v="9"/>
  </r>
  <r>
    <n v="592"/>
    <x v="5"/>
    <x v="1"/>
    <x v="1"/>
    <x v="21"/>
    <x v="44"/>
    <x v="4"/>
    <s v="No"/>
    <n v="7.5"/>
    <n v="7"/>
    <x v="0"/>
    <n v="2"/>
    <n v="5"/>
  </r>
  <r>
    <n v="593"/>
    <x v="4"/>
    <x v="0"/>
    <x v="0"/>
    <x v="35"/>
    <x v="50"/>
    <x v="2"/>
    <s v="Yes"/>
    <n v="6.1"/>
    <n v="5"/>
    <x v="1"/>
    <n v="4"/>
    <n v="8"/>
  </r>
  <r>
    <n v="594"/>
    <x v="6"/>
    <x v="1"/>
    <x v="1"/>
    <x v="2"/>
    <x v="33"/>
    <x v="0"/>
    <s v="Yes"/>
    <n v="6.9"/>
    <n v="6"/>
    <x v="0"/>
    <n v="3"/>
    <n v="7"/>
  </r>
  <r>
    <n v="595"/>
    <x v="2"/>
    <x v="0"/>
    <x v="0"/>
    <x v="13"/>
    <x v="35"/>
    <x v="4"/>
    <s v="Yes"/>
    <n v="6.3"/>
    <n v="5"/>
    <x v="1"/>
    <n v="4"/>
    <n v="8"/>
  </r>
  <r>
    <n v="596"/>
    <x v="4"/>
    <x v="1"/>
    <x v="0"/>
    <x v="10"/>
    <x v="7"/>
    <x v="0"/>
    <s v="Yes"/>
    <n v="6.7"/>
    <n v="6"/>
    <x v="1"/>
    <n v="3"/>
    <n v="7"/>
  </r>
  <r>
    <n v="597"/>
    <x v="5"/>
    <x v="0"/>
    <x v="1"/>
    <x v="4"/>
    <x v="22"/>
    <x v="2"/>
    <s v="No"/>
    <n v="7.3"/>
    <n v="7"/>
    <x v="0"/>
    <n v="2"/>
    <n v="5"/>
  </r>
  <r>
    <n v="598"/>
    <x v="2"/>
    <x v="1"/>
    <x v="0"/>
    <x v="3"/>
    <x v="47"/>
    <x v="4"/>
    <s v="Yes"/>
    <n v="6.2"/>
    <n v="5"/>
    <x v="1"/>
    <n v="4"/>
    <n v="8"/>
  </r>
  <r>
    <n v="599"/>
    <x v="1"/>
    <x v="0"/>
    <x v="1"/>
    <x v="12"/>
    <x v="43"/>
    <x v="1"/>
    <s v="No"/>
    <n v="7.1"/>
    <n v="7"/>
    <x v="0"/>
    <n v="2"/>
    <n v="5"/>
  </r>
  <r>
    <n v="600"/>
    <x v="0"/>
    <x v="1"/>
    <x v="0"/>
    <x v="14"/>
    <x v="51"/>
    <x v="0"/>
    <s v="Yes"/>
    <n v="6"/>
    <n v="4"/>
    <x v="1"/>
    <n v="4"/>
    <n v="8"/>
  </r>
  <r>
    <n v="601"/>
    <x v="6"/>
    <x v="0"/>
    <x v="1"/>
    <x v="15"/>
    <x v="11"/>
    <x v="11"/>
    <s v="Yes"/>
    <n v="6.8"/>
    <n v="6"/>
    <x v="0"/>
    <n v="3"/>
    <n v="7"/>
  </r>
  <r>
    <n v="602"/>
    <x v="4"/>
    <x v="1"/>
    <x v="0"/>
    <x v="8"/>
    <x v="44"/>
    <x v="1"/>
    <s v="No"/>
    <n v="7.6"/>
    <n v="8"/>
    <x v="1"/>
    <n v="2"/>
    <n v="4"/>
  </r>
  <r>
    <n v="603"/>
    <x v="5"/>
    <x v="0"/>
    <x v="1"/>
    <x v="60"/>
    <x v="35"/>
    <x v="0"/>
    <s v="Yes"/>
    <n v="6.4"/>
    <n v="5"/>
    <x v="1"/>
    <n v="4"/>
    <n v="8"/>
  </r>
  <r>
    <n v="604"/>
    <x v="2"/>
    <x v="1"/>
    <x v="0"/>
    <x v="59"/>
    <x v="4"/>
    <x v="4"/>
    <s v="No"/>
    <n v="7.4"/>
    <n v="7"/>
    <x v="0"/>
    <n v="2"/>
    <n v="5"/>
  </r>
  <r>
    <n v="605"/>
    <x v="1"/>
    <x v="0"/>
    <x v="1"/>
    <x v="11"/>
    <x v="40"/>
    <x v="2"/>
    <s v="Yes"/>
    <n v="6.3"/>
    <n v="5"/>
    <x v="1"/>
    <n v="4"/>
    <n v="8"/>
  </r>
  <r>
    <n v="606"/>
    <x v="0"/>
    <x v="1"/>
    <x v="0"/>
    <x v="18"/>
    <x v="19"/>
    <x v="0"/>
    <s v="No"/>
    <n v="7.2"/>
    <n v="7"/>
    <x v="0"/>
    <n v="2"/>
    <n v="5"/>
  </r>
  <r>
    <n v="607"/>
    <x v="6"/>
    <x v="0"/>
    <x v="1"/>
    <x v="25"/>
    <x v="29"/>
    <x v="1"/>
    <s v="Yes"/>
    <n v="6.6"/>
    <n v="6"/>
    <x v="1"/>
    <n v="3"/>
    <n v="7"/>
  </r>
  <r>
    <n v="608"/>
    <x v="4"/>
    <x v="1"/>
    <x v="0"/>
    <x v="1"/>
    <x v="53"/>
    <x v="4"/>
    <s v="Yes"/>
    <n v="5.7"/>
    <n v="4"/>
    <x v="1"/>
    <n v="5"/>
    <n v="9"/>
  </r>
  <r>
    <n v="609"/>
    <x v="5"/>
    <x v="0"/>
    <x v="1"/>
    <x v="21"/>
    <x v="27"/>
    <x v="0"/>
    <s v="No"/>
    <n v="7.4"/>
    <n v="7"/>
    <x v="0"/>
    <n v="2"/>
    <n v="5"/>
  </r>
  <r>
    <n v="610"/>
    <x v="2"/>
    <x v="1"/>
    <x v="0"/>
    <x v="35"/>
    <x v="52"/>
    <x v="2"/>
    <s v="Yes"/>
    <n v="6.2"/>
    <n v="5"/>
    <x v="1"/>
    <n v="4"/>
    <n v="8"/>
  </r>
  <r>
    <n v="611"/>
    <x v="1"/>
    <x v="0"/>
    <x v="1"/>
    <x v="2"/>
    <x v="31"/>
    <x v="0"/>
    <s v="Yes"/>
    <n v="6.9"/>
    <n v="6"/>
    <x v="0"/>
    <n v="3"/>
    <n v="7"/>
  </r>
  <r>
    <n v="612"/>
    <x v="0"/>
    <x v="1"/>
    <x v="0"/>
    <x v="13"/>
    <x v="13"/>
    <x v="4"/>
    <s v="Yes"/>
    <n v="6.1"/>
    <n v="5"/>
    <x v="1"/>
    <n v="4"/>
    <n v="8"/>
  </r>
  <r>
    <n v="613"/>
    <x v="6"/>
    <x v="0"/>
    <x v="1"/>
    <x v="10"/>
    <x v="10"/>
    <x v="1"/>
    <s v="No"/>
    <n v="7.3"/>
    <n v="7"/>
    <x v="0"/>
    <n v="2"/>
    <n v="5"/>
  </r>
  <r>
    <n v="614"/>
    <x v="4"/>
    <x v="1"/>
    <x v="0"/>
    <x v="4"/>
    <x v="23"/>
    <x v="0"/>
    <s v="Yes"/>
    <n v="6.7"/>
    <n v="6"/>
    <x v="1"/>
    <n v="3"/>
    <n v="7"/>
  </r>
  <r>
    <n v="615"/>
    <x v="5"/>
    <x v="0"/>
    <x v="1"/>
    <x v="3"/>
    <x v="25"/>
    <x v="2"/>
    <s v="Yes"/>
    <n v="6.4"/>
    <n v="5"/>
    <x v="1"/>
    <n v="4"/>
    <n v="8"/>
  </r>
  <r>
    <n v="616"/>
    <x v="2"/>
    <x v="1"/>
    <x v="0"/>
    <x v="12"/>
    <x v="38"/>
    <x v="4"/>
    <s v="No"/>
    <n v="7.2"/>
    <n v="7"/>
    <x v="0"/>
    <n v="2"/>
    <n v="5"/>
  </r>
  <r>
    <n v="617"/>
    <x v="1"/>
    <x v="0"/>
    <x v="1"/>
    <x v="14"/>
    <x v="49"/>
    <x v="0"/>
    <s v="Yes"/>
    <n v="5.9"/>
    <n v="4"/>
    <x v="1"/>
    <n v="5"/>
    <n v="9"/>
  </r>
  <r>
    <n v="618"/>
    <x v="0"/>
    <x v="1"/>
    <x v="0"/>
    <x v="15"/>
    <x v="33"/>
    <x v="11"/>
    <s v="Yes"/>
    <n v="6.8"/>
    <n v="6"/>
    <x v="0"/>
    <n v="3"/>
    <n v="7"/>
  </r>
  <r>
    <n v="619"/>
    <x v="6"/>
    <x v="0"/>
    <x v="1"/>
    <x v="8"/>
    <x v="15"/>
    <x v="1"/>
    <s v="No"/>
    <n v="7.5"/>
    <n v="8"/>
    <x v="1"/>
    <n v="2"/>
    <n v="4"/>
  </r>
  <r>
    <n v="620"/>
    <x v="4"/>
    <x v="1"/>
    <x v="0"/>
    <x v="60"/>
    <x v="40"/>
    <x v="2"/>
    <s v="Yes"/>
    <n v="6.3"/>
    <n v="5"/>
    <x v="1"/>
    <n v="4"/>
    <n v="8"/>
  </r>
  <r>
    <n v="621"/>
    <x v="5"/>
    <x v="0"/>
    <x v="1"/>
    <x v="59"/>
    <x v="27"/>
    <x v="0"/>
    <s v="No"/>
    <n v="7.4"/>
    <n v="7"/>
    <x v="0"/>
    <n v="2"/>
    <n v="5"/>
  </r>
  <r>
    <n v="622"/>
    <x v="2"/>
    <x v="1"/>
    <x v="0"/>
    <x v="11"/>
    <x v="13"/>
    <x v="4"/>
    <s v="Yes"/>
    <n v="6.2"/>
    <n v="5"/>
    <x v="1"/>
    <n v="4"/>
    <n v="8"/>
  </r>
  <r>
    <n v="623"/>
    <x v="1"/>
    <x v="0"/>
    <x v="1"/>
    <x v="18"/>
    <x v="38"/>
    <x v="1"/>
    <s v="No"/>
    <n v="7.3"/>
    <n v="7"/>
    <x v="0"/>
    <n v="2"/>
    <n v="5"/>
  </r>
  <r>
    <n v="624"/>
    <x v="0"/>
    <x v="1"/>
    <x v="0"/>
    <x v="25"/>
    <x v="7"/>
    <x v="0"/>
    <s v="Yes"/>
    <n v="6.6"/>
    <n v="6"/>
    <x v="1"/>
    <n v="3"/>
    <n v="7"/>
  </r>
  <r>
    <n v="625"/>
    <x v="6"/>
    <x v="0"/>
    <x v="1"/>
    <x v="1"/>
    <x v="48"/>
    <x v="2"/>
    <s v="Yes"/>
    <n v="5.8"/>
    <n v="4"/>
    <x v="1"/>
    <n v="5"/>
    <n v="9"/>
  </r>
  <r>
    <n v="626"/>
    <x v="4"/>
    <x v="1"/>
    <x v="0"/>
    <x v="21"/>
    <x v="4"/>
    <x v="4"/>
    <s v="No"/>
    <n v="7.3"/>
    <n v="7"/>
    <x v="0"/>
    <n v="2"/>
    <n v="5"/>
  </r>
  <r>
    <n v="627"/>
    <x v="5"/>
    <x v="0"/>
    <x v="1"/>
    <x v="35"/>
    <x v="51"/>
    <x v="0"/>
    <s v="Yes"/>
    <n v="6.1"/>
    <n v="5"/>
    <x v="1"/>
    <n v="4"/>
    <n v="8"/>
  </r>
  <r>
    <n v="628"/>
    <x v="2"/>
    <x v="1"/>
    <x v="0"/>
    <x v="2"/>
    <x v="11"/>
    <x v="1"/>
    <s v="Yes"/>
    <n v="6.8"/>
    <n v="6"/>
    <x v="0"/>
    <n v="3"/>
    <n v="7"/>
  </r>
  <r>
    <n v="629"/>
    <x v="1"/>
    <x v="0"/>
    <x v="1"/>
    <x v="13"/>
    <x v="47"/>
    <x v="4"/>
    <s v="Yes"/>
    <n v="6.2"/>
    <n v="5"/>
    <x v="1"/>
    <n v="4"/>
    <n v="8"/>
  </r>
  <r>
    <n v="630"/>
    <x v="0"/>
    <x v="1"/>
    <x v="0"/>
    <x v="10"/>
    <x v="19"/>
    <x v="0"/>
    <s v="No"/>
    <n v="7.2"/>
    <n v="7"/>
    <x v="0"/>
    <n v="2"/>
    <n v="5"/>
  </r>
  <r>
    <n v="631"/>
    <x v="6"/>
    <x v="0"/>
    <x v="1"/>
    <x v="4"/>
    <x v="33"/>
    <x v="2"/>
    <s v="Yes"/>
    <n v="6.7"/>
    <n v="6"/>
    <x v="1"/>
    <n v="3"/>
    <n v="7"/>
  </r>
  <r>
    <n v="632"/>
    <x v="4"/>
    <x v="1"/>
    <x v="0"/>
    <x v="3"/>
    <x v="35"/>
    <x v="4"/>
    <s v="Yes"/>
    <n v="6.3"/>
    <n v="5"/>
    <x v="1"/>
    <n v="4"/>
    <n v="8"/>
  </r>
  <r>
    <n v="633"/>
    <x v="5"/>
    <x v="0"/>
    <x v="1"/>
    <x v="12"/>
    <x v="10"/>
    <x v="1"/>
    <s v="No"/>
    <n v="7.1"/>
    <n v="7"/>
    <x v="0"/>
    <n v="2"/>
    <n v="5"/>
  </r>
  <r>
    <n v="634"/>
    <x v="2"/>
    <x v="1"/>
    <x v="0"/>
    <x v="14"/>
    <x v="50"/>
    <x v="0"/>
    <s v="Yes"/>
    <n v="5.9"/>
    <n v="4"/>
    <x v="1"/>
    <n v="5"/>
    <n v="9"/>
  </r>
  <r>
    <n v="635"/>
    <x v="1"/>
    <x v="0"/>
    <x v="1"/>
    <x v="15"/>
    <x v="23"/>
    <x v="11"/>
    <s v="Yes"/>
    <n v="6.7"/>
    <n v="6"/>
    <x v="0"/>
    <n v="3"/>
    <n v="7"/>
  </r>
  <r>
    <n v="636"/>
    <x v="0"/>
    <x v="1"/>
    <x v="0"/>
    <x v="8"/>
    <x v="27"/>
    <x v="1"/>
    <s v="No"/>
    <n v="7.4"/>
    <n v="8"/>
    <x v="1"/>
    <n v="2"/>
    <n v="4"/>
  </r>
  <r>
    <n v="637"/>
    <x v="6"/>
    <x v="0"/>
    <x v="1"/>
    <x v="60"/>
    <x v="25"/>
    <x v="2"/>
    <s v="Yes"/>
    <n v="6.4"/>
    <n v="5"/>
    <x v="1"/>
    <n v="4"/>
    <n v="8"/>
  </r>
  <r>
    <n v="638"/>
    <x v="4"/>
    <x v="1"/>
    <x v="0"/>
    <x v="59"/>
    <x v="44"/>
    <x v="0"/>
    <s v="No"/>
    <n v="7.5"/>
    <n v="7"/>
    <x v="0"/>
    <n v="2"/>
    <n v="5"/>
  </r>
  <r>
    <n v="639"/>
    <x v="5"/>
    <x v="0"/>
    <x v="1"/>
    <x v="11"/>
    <x v="47"/>
    <x v="4"/>
    <s v="Yes"/>
    <n v="6.2"/>
    <n v="5"/>
    <x v="1"/>
    <n v="4"/>
    <n v="8"/>
  </r>
  <r>
    <n v="640"/>
    <x v="2"/>
    <x v="1"/>
    <x v="0"/>
    <x v="18"/>
    <x v="4"/>
    <x v="1"/>
    <s v="No"/>
    <n v="7.3"/>
    <n v="7"/>
    <x v="0"/>
    <n v="2"/>
    <n v="5"/>
  </r>
  <r>
    <n v="641"/>
    <x v="1"/>
    <x v="0"/>
    <x v="1"/>
    <x v="25"/>
    <x v="29"/>
    <x v="0"/>
    <s v="Yes"/>
    <n v="6.5"/>
    <n v="6"/>
    <x v="1"/>
    <n v="3"/>
    <n v="7"/>
  </r>
  <r>
    <n v="642"/>
    <x v="0"/>
    <x v="1"/>
    <x v="0"/>
    <x v="1"/>
    <x v="5"/>
    <x v="2"/>
    <s v="Yes"/>
    <n v="5.7"/>
    <n v="4"/>
    <x v="1"/>
    <n v="5"/>
    <n v="9"/>
  </r>
  <r>
    <n v="643"/>
    <x v="6"/>
    <x v="0"/>
    <x v="1"/>
    <x v="21"/>
    <x v="38"/>
    <x v="4"/>
    <s v="No"/>
    <n v="7.2"/>
    <n v="7"/>
    <x v="0"/>
    <n v="2"/>
    <n v="5"/>
  </r>
  <r>
    <n v="644"/>
    <x v="4"/>
    <x v="1"/>
    <x v="0"/>
    <x v="35"/>
    <x v="49"/>
    <x v="0"/>
    <s v="Yes"/>
    <n v="6"/>
    <n v="5"/>
    <x v="1"/>
    <n v="4"/>
    <n v="8"/>
  </r>
  <r>
    <n v="645"/>
    <x v="5"/>
    <x v="0"/>
    <x v="1"/>
    <x v="2"/>
    <x v="20"/>
    <x v="1"/>
    <s v="Yes"/>
    <n v="6.8"/>
    <n v="6"/>
    <x v="0"/>
    <n v="3"/>
    <n v="7"/>
  </r>
  <r>
    <n v="646"/>
    <x v="1"/>
    <x v="1"/>
    <x v="1"/>
    <x v="13"/>
    <x v="40"/>
    <x v="4"/>
    <s v="Yes"/>
    <n v="6.2"/>
    <n v="5"/>
    <x v="1"/>
    <n v="4"/>
    <n v="8"/>
  </r>
  <r>
    <n v="647"/>
    <x v="2"/>
    <x v="0"/>
    <x v="0"/>
    <x v="10"/>
    <x v="10"/>
    <x v="0"/>
    <s v="No"/>
    <n v="7.1"/>
    <n v="7"/>
    <x v="0"/>
    <n v="2"/>
    <n v="5"/>
  </r>
  <r>
    <n v="648"/>
    <x v="5"/>
    <x v="1"/>
    <x v="1"/>
    <x v="4"/>
    <x v="23"/>
    <x v="2"/>
    <s v="Yes"/>
    <n v="6.6"/>
    <n v="6"/>
    <x v="1"/>
    <n v="3"/>
    <n v="7"/>
  </r>
  <r>
    <n v="649"/>
    <x v="4"/>
    <x v="0"/>
    <x v="0"/>
    <x v="3"/>
    <x v="35"/>
    <x v="1"/>
    <s v="Yes"/>
    <n v="6.3"/>
    <n v="5"/>
    <x v="1"/>
    <n v="4"/>
    <n v="8"/>
  </r>
  <r>
    <n v="650"/>
    <x v="6"/>
    <x v="1"/>
    <x v="1"/>
    <x v="12"/>
    <x v="19"/>
    <x v="4"/>
    <s v="No"/>
    <n v="7.2"/>
    <n v="7"/>
    <x v="0"/>
    <n v="2"/>
    <n v="5"/>
  </r>
  <r>
    <n v="651"/>
    <x v="0"/>
    <x v="0"/>
    <x v="0"/>
    <x v="14"/>
    <x v="49"/>
    <x v="0"/>
    <s v="Yes"/>
    <n v="5.9"/>
    <n v="4"/>
    <x v="1"/>
    <n v="5"/>
    <n v="9"/>
  </r>
  <r>
    <n v="652"/>
    <x v="1"/>
    <x v="1"/>
    <x v="1"/>
    <x v="15"/>
    <x v="33"/>
    <x v="11"/>
    <s v="Yes"/>
    <n v="6.7"/>
    <n v="6"/>
    <x v="0"/>
    <n v="3"/>
    <n v="7"/>
  </r>
  <r>
    <n v="653"/>
    <x v="2"/>
    <x v="0"/>
    <x v="0"/>
    <x v="8"/>
    <x v="44"/>
    <x v="1"/>
    <s v="No"/>
    <n v="7.5"/>
    <n v="8"/>
    <x v="1"/>
    <n v="2"/>
    <n v="4"/>
  </r>
  <r>
    <n v="654"/>
    <x v="5"/>
    <x v="1"/>
    <x v="1"/>
    <x v="60"/>
    <x v="35"/>
    <x v="2"/>
    <s v="Yes"/>
    <n v="6.3"/>
    <n v="5"/>
    <x v="1"/>
    <n v="4"/>
    <n v="8"/>
  </r>
  <r>
    <n v="655"/>
    <x v="4"/>
    <x v="0"/>
    <x v="0"/>
    <x v="59"/>
    <x v="27"/>
    <x v="0"/>
    <s v="No"/>
    <n v="7.4"/>
    <n v="7"/>
    <x v="0"/>
    <n v="2"/>
    <n v="5"/>
  </r>
  <r>
    <n v="656"/>
    <x v="6"/>
    <x v="1"/>
    <x v="1"/>
    <x v="11"/>
    <x v="13"/>
    <x v="4"/>
    <s v="Yes"/>
    <n v="6.1"/>
    <n v="5"/>
    <x v="1"/>
    <n v="4"/>
    <n v="8"/>
  </r>
  <r>
    <n v="657"/>
    <x v="0"/>
    <x v="0"/>
    <x v="0"/>
    <x v="18"/>
    <x v="38"/>
    <x v="1"/>
    <s v="No"/>
    <n v="7.3"/>
    <n v="7"/>
    <x v="0"/>
    <n v="2"/>
    <n v="5"/>
  </r>
  <r>
    <n v="658"/>
    <x v="1"/>
    <x v="1"/>
    <x v="1"/>
    <x v="25"/>
    <x v="7"/>
    <x v="0"/>
    <s v="Yes"/>
    <n v="6.6"/>
    <n v="6"/>
    <x v="1"/>
    <n v="3"/>
    <n v="7"/>
  </r>
  <r>
    <n v="659"/>
    <x v="2"/>
    <x v="0"/>
    <x v="0"/>
    <x v="1"/>
    <x v="53"/>
    <x v="2"/>
    <s v="Yes"/>
    <n v="5.8"/>
    <n v="4"/>
    <x v="1"/>
    <n v="5"/>
    <n v="9"/>
  </r>
  <r>
    <n v="660"/>
    <x v="5"/>
    <x v="1"/>
    <x v="1"/>
    <x v="21"/>
    <x v="4"/>
    <x v="4"/>
    <s v="No"/>
    <n v="7.3"/>
    <n v="7"/>
    <x v="0"/>
    <n v="2"/>
    <n v="5"/>
  </r>
  <r>
    <n v="661"/>
    <x v="4"/>
    <x v="0"/>
    <x v="0"/>
    <x v="35"/>
    <x v="51"/>
    <x v="0"/>
    <s v="Yes"/>
    <n v="6"/>
    <n v="5"/>
    <x v="1"/>
    <n v="4"/>
    <n v="8"/>
  </r>
  <r>
    <n v="662"/>
    <x v="6"/>
    <x v="1"/>
    <x v="1"/>
    <x v="2"/>
    <x v="31"/>
    <x v="1"/>
    <s v="Yes"/>
    <n v="6.8"/>
    <n v="6"/>
    <x v="0"/>
    <n v="3"/>
    <n v="7"/>
  </r>
  <r>
    <n v="663"/>
    <x v="0"/>
    <x v="0"/>
    <x v="0"/>
    <x v="13"/>
    <x v="47"/>
    <x v="2"/>
    <s v="Yes"/>
    <n v="6.2"/>
    <n v="5"/>
    <x v="1"/>
    <n v="4"/>
    <n v="8"/>
  </r>
  <r>
    <n v="664"/>
    <x v="1"/>
    <x v="1"/>
    <x v="1"/>
    <x v="10"/>
    <x v="19"/>
    <x v="4"/>
    <s v="No"/>
    <n v="7.2"/>
    <n v="7"/>
    <x v="0"/>
    <n v="2"/>
    <n v="5"/>
  </r>
  <r>
    <n v="665"/>
    <x v="2"/>
    <x v="0"/>
    <x v="0"/>
    <x v="4"/>
    <x v="33"/>
    <x v="0"/>
    <s v="Yes"/>
    <n v="6.7"/>
    <n v="6"/>
    <x v="1"/>
    <n v="3"/>
    <n v="7"/>
  </r>
  <r>
    <n v="666"/>
    <x v="5"/>
    <x v="1"/>
    <x v="1"/>
    <x v="3"/>
    <x v="40"/>
    <x v="1"/>
    <s v="Yes"/>
    <n v="6.2"/>
    <n v="5"/>
    <x v="1"/>
    <n v="4"/>
    <n v="8"/>
  </r>
  <r>
    <n v="667"/>
    <x v="4"/>
    <x v="0"/>
    <x v="0"/>
    <x v="12"/>
    <x v="10"/>
    <x v="2"/>
    <s v="No"/>
    <n v="7.1"/>
    <n v="7"/>
    <x v="0"/>
    <n v="2"/>
    <n v="5"/>
  </r>
  <r>
    <n v="668"/>
    <x v="6"/>
    <x v="1"/>
    <x v="1"/>
    <x v="14"/>
    <x v="50"/>
    <x v="0"/>
    <s v="Yes"/>
    <n v="5.9"/>
    <n v="4"/>
    <x v="1"/>
    <n v="5"/>
    <n v="9"/>
  </r>
  <r>
    <n v="669"/>
    <x v="0"/>
    <x v="0"/>
    <x v="0"/>
    <x v="15"/>
    <x v="23"/>
    <x v="11"/>
    <s v="Yes"/>
    <n v="6.7"/>
    <n v="6"/>
    <x v="0"/>
    <n v="3"/>
    <n v="7"/>
  </r>
  <r>
    <n v="670"/>
    <x v="1"/>
    <x v="1"/>
    <x v="1"/>
    <x v="8"/>
    <x v="27"/>
    <x v="1"/>
    <s v="No"/>
    <n v="7.4"/>
    <n v="8"/>
    <x v="1"/>
    <n v="2"/>
    <n v="4"/>
  </r>
  <r>
    <n v="671"/>
    <x v="2"/>
    <x v="0"/>
    <x v="0"/>
    <x v="60"/>
    <x v="25"/>
    <x v="4"/>
    <s v="Yes"/>
    <n v="6.4"/>
    <n v="5"/>
    <x v="1"/>
    <n v="4"/>
    <n v="8"/>
  </r>
  <r>
    <n v="672"/>
    <x v="5"/>
    <x v="1"/>
    <x v="1"/>
    <x v="59"/>
    <x v="44"/>
    <x v="0"/>
    <s v="No"/>
    <n v="7.5"/>
    <n v="7"/>
    <x v="0"/>
    <n v="2"/>
    <n v="5"/>
  </r>
  <r>
    <n v="673"/>
    <x v="4"/>
    <x v="0"/>
    <x v="0"/>
    <x v="11"/>
    <x v="47"/>
    <x v="2"/>
    <s v="Yes"/>
    <n v="6.2"/>
    <n v="5"/>
    <x v="1"/>
    <n v="4"/>
    <n v="8"/>
  </r>
  <r>
    <n v="674"/>
    <x v="6"/>
    <x v="1"/>
    <x v="1"/>
    <x v="18"/>
    <x v="4"/>
    <x v="1"/>
    <s v="No"/>
    <n v="7.3"/>
    <n v="7"/>
    <x v="0"/>
    <n v="2"/>
    <n v="5"/>
  </r>
  <r>
    <n v="675"/>
    <x v="0"/>
    <x v="0"/>
    <x v="0"/>
    <x v="25"/>
    <x v="29"/>
    <x v="0"/>
    <s v="Yes"/>
    <n v="6.5"/>
    <n v="6"/>
    <x v="1"/>
    <n v="3"/>
    <n v="7"/>
  </r>
  <r>
    <n v="676"/>
    <x v="1"/>
    <x v="1"/>
    <x v="1"/>
    <x v="1"/>
    <x v="5"/>
    <x v="4"/>
    <s v="Yes"/>
    <n v="5.7"/>
    <n v="4"/>
    <x v="1"/>
    <n v="5"/>
    <n v="9"/>
  </r>
  <r>
    <n v="677"/>
    <x v="2"/>
    <x v="0"/>
    <x v="0"/>
    <x v="21"/>
    <x v="38"/>
    <x v="2"/>
    <s v="No"/>
    <n v="7.2"/>
    <n v="7"/>
    <x v="0"/>
    <n v="2"/>
    <n v="5"/>
  </r>
  <r>
    <n v="678"/>
    <x v="5"/>
    <x v="1"/>
    <x v="1"/>
    <x v="35"/>
    <x v="49"/>
    <x v="0"/>
    <s v="Yes"/>
    <n v="6"/>
    <n v="5"/>
    <x v="1"/>
    <n v="4"/>
    <n v="8"/>
  </r>
  <r>
    <n v="679"/>
    <x v="4"/>
    <x v="0"/>
    <x v="0"/>
    <x v="2"/>
    <x v="20"/>
    <x v="1"/>
    <s v="Yes"/>
    <n v="6.8"/>
    <n v="6"/>
    <x v="0"/>
    <n v="3"/>
    <n v="7"/>
  </r>
  <r>
    <n v="680"/>
    <x v="6"/>
    <x v="1"/>
    <x v="1"/>
    <x v="13"/>
    <x v="35"/>
    <x v="4"/>
    <s v="Yes"/>
    <n v="6.3"/>
    <n v="5"/>
    <x v="1"/>
    <n v="4"/>
    <n v="8"/>
  </r>
  <r>
    <n v="681"/>
    <x v="0"/>
    <x v="0"/>
    <x v="0"/>
    <x v="10"/>
    <x v="19"/>
    <x v="0"/>
    <s v="No"/>
    <n v="7.2"/>
    <n v="7"/>
    <x v="0"/>
    <n v="2"/>
    <n v="5"/>
  </r>
  <r>
    <n v="682"/>
    <x v="1"/>
    <x v="1"/>
    <x v="1"/>
    <x v="4"/>
    <x v="7"/>
    <x v="2"/>
    <s v="Yes"/>
    <n v="6.6"/>
    <n v="6"/>
    <x v="1"/>
    <n v="3"/>
    <n v="7"/>
  </r>
  <r>
    <n v="683"/>
    <x v="2"/>
    <x v="0"/>
    <x v="0"/>
    <x v="3"/>
    <x v="25"/>
    <x v="1"/>
    <s v="Yes"/>
    <n v="6.4"/>
    <n v="5"/>
    <x v="1"/>
    <n v="4"/>
    <n v="8"/>
  </r>
  <r>
    <n v="684"/>
    <x v="5"/>
    <x v="1"/>
    <x v="1"/>
    <x v="12"/>
    <x v="10"/>
    <x v="4"/>
    <s v="No"/>
    <n v="7.1"/>
    <n v="7"/>
    <x v="0"/>
    <n v="2"/>
    <n v="5"/>
  </r>
  <r>
    <n v="685"/>
    <x v="4"/>
    <x v="0"/>
    <x v="0"/>
    <x v="14"/>
    <x v="51"/>
    <x v="0"/>
    <s v="Yes"/>
    <n v="6"/>
    <n v="4"/>
    <x v="1"/>
    <n v="5"/>
    <n v="9"/>
  </r>
  <r>
    <n v="686"/>
    <x v="6"/>
    <x v="1"/>
    <x v="1"/>
    <x v="15"/>
    <x v="11"/>
    <x v="11"/>
    <s v="Yes"/>
    <n v="6.8"/>
    <n v="6"/>
    <x v="0"/>
    <n v="3"/>
    <n v="7"/>
  </r>
  <r>
    <n v="687"/>
    <x v="0"/>
    <x v="0"/>
    <x v="0"/>
    <x v="8"/>
    <x v="15"/>
    <x v="1"/>
    <s v="No"/>
    <n v="7.5"/>
    <n v="8"/>
    <x v="1"/>
    <n v="2"/>
    <n v="4"/>
  </r>
  <r>
    <n v="688"/>
    <x v="1"/>
    <x v="1"/>
    <x v="1"/>
    <x v="60"/>
    <x v="40"/>
    <x v="2"/>
    <s v="Yes"/>
    <n v="6.2"/>
    <n v="5"/>
    <x v="1"/>
    <n v="4"/>
    <n v="8"/>
  </r>
  <r>
    <n v="689"/>
    <x v="2"/>
    <x v="0"/>
    <x v="0"/>
    <x v="59"/>
    <x v="27"/>
    <x v="0"/>
    <s v="No"/>
    <n v="7.4"/>
    <n v="7"/>
    <x v="0"/>
    <n v="2"/>
    <n v="5"/>
  </r>
  <r>
    <n v="690"/>
    <x v="5"/>
    <x v="1"/>
    <x v="1"/>
    <x v="11"/>
    <x v="13"/>
    <x v="4"/>
    <s v="Yes"/>
    <n v="6.1"/>
    <n v="5"/>
    <x v="1"/>
    <n v="4"/>
    <n v="8"/>
  </r>
  <r>
    <n v="691"/>
    <x v="4"/>
    <x v="0"/>
    <x v="0"/>
    <x v="18"/>
    <x v="38"/>
    <x v="1"/>
    <s v="No"/>
    <n v="7.3"/>
    <n v="7"/>
    <x v="0"/>
    <n v="2"/>
    <n v="5"/>
  </r>
  <r>
    <n v="692"/>
    <x v="6"/>
    <x v="1"/>
    <x v="1"/>
    <x v="25"/>
    <x v="29"/>
    <x v="0"/>
    <s v="Yes"/>
    <n v="6.5"/>
    <n v="6"/>
    <x v="1"/>
    <n v="3"/>
    <n v="7"/>
  </r>
  <r>
    <n v="693"/>
    <x v="0"/>
    <x v="0"/>
    <x v="0"/>
    <x v="1"/>
    <x v="48"/>
    <x v="2"/>
    <s v="Yes"/>
    <n v="5.8"/>
    <n v="4"/>
    <x v="1"/>
    <n v="5"/>
    <n v="9"/>
  </r>
  <r>
    <n v="694"/>
    <x v="1"/>
    <x v="1"/>
    <x v="1"/>
    <x v="21"/>
    <x v="4"/>
    <x v="4"/>
    <s v="No"/>
    <n v="7.3"/>
    <n v="7"/>
    <x v="0"/>
    <n v="2"/>
    <n v="5"/>
  </r>
  <r>
    <n v="695"/>
    <x v="2"/>
    <x v="0"/>
    <x v="0"/>
    <x v="35"/>
    <x v="52"/>
    <x v="0"/>
    <s v="Yes"/>
    <n v="6.1"/>
    <n v="5"/>
    <x v="1"/>
    <n v="4"/>
    <n v="8"/>
  </r>
  <r>
    <n v="696"/>
    <x v="5"/>
    <x v="1"/>
    <x v="1"/>
    <x v="2"/>
    <x v="11"/>
    <x v="1"/>
    <s v="Yes"/>
    <n v="6.7"/>
    <n v="6"/>
    <x v="0"/>
    <n v="3"/>
    <n v="7"/>
  </r>
  <r>
    <n v="697"/>
    <x v="4"/>
    <x v="0"/>
    <x v="0"/>
    <x v="13"/>
    <x v="40"/>
    <x v="2"/>
    <s v="Yes"/>
    <n v="6.2"/>
    <n v="5"/>
    <x v="1"/>
    <n v="4"/>
    <n v="8"/>
  </r>
  <r>
    <n v="698"/>
    <x v="6"/>
    <x v="1"/>
    <x v="1"/>
    <x v="10"/>
    <x v="10"/>
    <x v="4"/>
    <s v="No"/>
    <n v="7.1"/>
    <n v="7"/>
    <x v="0"/>
    <n v="2"/>
    <n v="5"/>
  </r>
  <r>
    <n v="699"/>
    <x v="0"/>
    <x v="0"/>
    <x v="0"/>
    <x v="4"/>
    <x v="23"/>
    <x v="0"/>
    <s v="Yes"/>
    <n v="6.6"/>
    <n v="6"/>
    <x v="1"/>
    <n v="3"/>
    <n v="7"/>
  </r>
  <r>
    <n v="700"/>
    <x v="1"/>
    <x v="1"/>
    <x v="1"/>
    <x v="3"/>
    <x v="35"/>
    <x v="1"/>
    <s v="Yes"/>
    <n v="6.3"/>
    <n v="5"/>
    <x v="1"/>
    <n v="4"/>
    <n v="8"/>
  </r>
  <r>
    <n v="701"/>
    <x v="2"/>
    <x v="0"/>
    <x v="0"/>
    <x v="12"/>
    <x v="19"/>
    <x v="2"/>
    <s v="No"/>
    <n v="7.2"/>
    <n v="7"/>
    <x v="0"/>
    <n v="2"/>
    <n v="5"/>
  </r>
  <r>
    <n v="702"/>
    <x v="5"/>
    <x v="1"/>
    <x v="1"/>
    <x v="14"/>
    <x v="49"/>
    <x v="0"/>
    <s v="Yes"/>
    <n v="5.9"/>
    <n v="4"/>
    <x v="1"/>
    <n v="5"/>
    <n v="9"/>
  </r>
  <r>
    <n v="703"/>
    <x v="4"/>
    <x v="0"/>
    <x v="0"/>
    <x v="15"/>
    <x v="33"/>
    <x v="11"/>
    <s v="Yes"/>
    <n v="6.7"/>
    <n v="6"/>
    <x v="0"/>
    <n v="3"/>
    <n v="7"/>
  </r>
  <r>
    <n v="704"/>
    <x v="6"/>
    <x v="1"/>
    <x v="1"/>
    <x v="8"/>
    <x v="44"/>
    <x v="1"/>
    <s v="No"/>
    <n v="7.5"/>
    <n v="8"/>
    <x v="1"/>
    <n v="2"/>
    <n v="4"/>
  </r>
  <r>
    <n v="705"/>
    <x v="0"/>
    <x v="0"/>
    <x v="0"/>
    <x v="60"/>
    <x v="35"/>
    <x v="4"/>
    <s v="Yes"/>
    <n v="6.3"/>
    <n v="5"/>
    <x v="1"/>
    <n v="4"/>
    <n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s v="Bangladesh"/>
    <x v="0"/>
    <x v="0"/>
    <x v="0"/>
    <x v="0"/>
    <x v="0"/>
    <x v="0"/>
    <n v="3"/>
    <n v="8"/>
    <x v="0"/>
  </r>
  <r>
    <n v="2"/>
    <x v="1"/>
    <x v="1"/>
    <x v="1"/>
    <s v="India"/>
    <x v="1"/>
    <x v="1"/>
    <x v="1"/>
    <x v="1"/>
    <x v="1"/>
    <x v="1"/>
    <n v="0"/>
    <n v="3"/>
    <x v="1"/>
  </r>
  <r>
    <n v="3"/>
    <x v="2"/>
    <x v="0"/>
    <x v="0"/>
    <s v="USA"/>
    <x v="2"/>
    <x v="2"/>
    <x v="0"/>
    <x v="2"/>
    <x v="2"/>
    <x v="2"/>
    <n v="4"/>
    <n v="9"/>
    <x v="0"/>
  </r>
  <r>
    <n v="4"/>
    <x v="3"/>
    <x v="1"/>
    <x v="2"/>
    <s v="UK"/>
    <x v="3"/>
    <x v="3"/>
    <x v="1"/>
    <x v="3"/>
    <x v="3"/>
    <x v="1"/>
    <n v="1"/>
    <n v="4"/>
    <x v="1"/>
  </r>
  <r>
    <n v="5"/>
    <x v="4"/>
    <x v="1"/>
    <x v="1"/>
    <s v="Canada"/>
    <x v="4"/>
    <x v="4"/>
    <x v="0"/>
    <x v="4"/>
    <x v="0"/>
    <x v="0"/>
    <n v="2"/>
    <n v="7"/>
    <x v="0"/>
  </r>
  <r>
    <n v="6"/>
    <x v="0"/>
    <x v="0"/>
    <x v="0"/>
    <s v="Australia"/>
    <x v="5"/>
    <x v="0"/>
    <x v="0"/>
    <x v="5"/>
    <x v="4"/>
    <x v="2"/>
    <n v="5"/>
    <n v="9"/>
    <x v="2"/>
  </r>
  <r>
    <n v="7"/>
    <x v="5"/>
    <x v="1"/>
    <x v="1"/>
    <s v="Germany"/>
    <x v="6"/>
    <x v="5"/>
    <x v="1"/>
    <x v="6"/>
    <x v="5"/>
    <x v="1"/>
    <n v="0"/>
    <n v="2"/>
    <x v="1"/>
  </r>
  <r>
    <n v="8"/>
    <x v="2"/>
    <x v="0"/>
    <x v="0"/>
    <s v="Brazil"/>
    <x v="7"/>
    <x v="6"/>
    <x v="0"/>
    <x v="4"/>
    <x v="0"/>
    <x v="0"/>
    <n v="2"/>
    <n v="8"/>
    <x v="0"/>
  </r>
  <r>
    <n v="9"/>
    <x v="3"/>
    <x v="1"/>
    <x v="2"/>
    <s v="Japan"/>
    <x v="8"/>
    <x v="2"/>
    <x v="1"/>
    <x v="0"/>
    <x v="3"/>
    <x v="1"/>
    <n v="1"/>
    <n v="5"/>
    <x v="0"/>
  </r>
  <r>
    <n v="10"/>
    <x v="4"/>
    <x v="0"/>
    <x v="1"/>
    <s v="South Korea"/>
    <x v="9"/>
    <x v="0"/>
    <x v="1"/>
    <x v="3"/>
    <x v="3"/>
    <x v="0"/>
    <n v="1"/>
    <n v="4"/>
    <x v="1"/>
  </r>
  <r>
    <n v="11"/>
    <x v="0"/>
    <x v="1"/>
    <x v="0"/>
    <s v="France"/>
    <x v="10"/>
    <x v="6"/>
    <x v="0"/>
    <x v="7"/>
    <x v="2"/>
    <x v="2"/>
    <n v="3"/>
    <n v="7"/>
    <x v="0"/>
  </r>
  <r>
    <n v="12"/>
    <x v="2"/>
    <x v="0"/>
    <x v="0"/>
    <s v="Spain"/>
    <x v="11"/>
    <x v="2"/>
    <x v="0"/>
    <x v="8"/>
    <x v="0"/>
    <x v="0"/>
    <n v="2"/>
    <n v="8"/>
    <x v="0"/>
  </r>
  <r>
    <n v="13"/>
    <x v="1"/>
    <x v="1"/>
    <x v="1"/>
    <s v="Italy"/>
    <x v="12"/>
    <x v="5"/>
    <x v="1"/>
    <x v="9"/>
    <x v="1"/>
    <x v="1"/>
    <n v="1"/>
    <n v="4"/>
    <x v="1"/>
  </r>
  <r>
    <n v="14"/>
    <x v="3"/>
    <x v="0"/>
    <x v="2"/>
    <s v="Mexico"/>
    <x v="13"/>
    <x v="0"/>
    <x v="0"/>
    <x v="10"/>
    <x v="2"/>
    <x v="1"/>
    <n v="4"/>
    <n v="9"/>
    <x v="0"/>
  </r>
  <r>
    <n v="15"/>
    <x v="4"/>
    <x v="1"/>
    <x v="0"/>
    <s v="Russia"/>
    <x v="14"/>
    <x v="3"/>
    <x v="1"/>
    <x v="11"/>
    <x v="3"/>
    <x v="0"/>
    <n v="2"/>
    <n v="5"/>
    <x v="0"/>
  </r>
  <r>
    <n v="16"/>
    <x v="2"/>
    <x v="0"/>
    <x v="0"/>
    <s v="China"/>
    <x v="15"/>
    <x v="2"/>
    <x v="0"/>
    <x v="4"/>
    <x v="0"/>
    <x v="2"/>
    <n v="3"/>
    <n v="7"/>
    <x v="0"/>
  </r>
  <r>
    <n v="17"/>
    <x v="6"/>
    <x v="1"/>
    <x v="1"/>
    <s v="Sweden"/>
    <x v="16"/>
    <x v="5"/>
    <x v="1"/>
    <x v="12"/>
    <x v="1"/>
    <x v="1"/>
    <n v="0"/>
    <n v="3"/>
    <x v="1"/>
  </r>
  <r>
    <n v="18"/>
    <x v="0"/>
    <x v="0"/>
    <x v="2"/>
    <s v="Norway"/>
    <x v="17"/>
    <x v="0"/>
    <x v="0"/>
    <x v="13"/>
    <x v="2"/>
    <x v="0"/>
    <n v="3"/>
    <n v="8"/>
    <x v="0"/>
  </r>
  <r>
    <n v="19"/>
    <x v="4"/>
    <x v="1"/>
    <x v="0"/>
    <s v="Denmark"/>
    <x v="18"/>
    <x v="4"/>
    <x v="1"/>
    <x v="14"/>
    <x v="3"/>
    <x v="1"/>
    <n v="1"/>
    <n v="5"/>
    <x v="1"/>
  </r>
  <r>
    <n v="20"/>
    <x v="2"/>
    <x v="0"/>
    <x v="0"/>
    <s v="Netherlands"/>
    <x v="19"/>
    <x v="6"/>
    <x v="0"/>
    <x v="15"/>
    <x v="0"/>
    <x v="2"/>
    <n v="3"/>
    <n v="7"/>
    <x v="0"/>
  </r>
  <r>
    <n v="21"/>
    <x v="3"/>
    <x v="1"/>
    <x v="2"/>
    <s v="Belgium"/>
    <x v="20"/>
    <x v="2"/>
    <x v="0"/>
    <x v="10"/>
    <x v="2"/>
    <x v="1"/>
    <n v="4"/>
    <n v="8"/>
    <x v="0"/>
  </r>
  <r>
    <n v="22"/>
    <x v="5"/>
    <x v="0"/>
    <x v="1"/>
    <s v="Switzerland"/>
    <x v="21"/>
    <x v="5"/>
    <x v="1"/>
    <x v="16"/>
    <x v="1"/>
    <x v="0"/>
    <n v="1"/>
    <n v="4"/>
    <x v="1"/>
  </r>
  <r>
    <n v="23"/>
    <x v="0"/>
    <x v="1"/>
    <x v="0"/>
    <s v="Austria"/>
    <x v="22"/>
    <x v="0"/>
    <x v="0"/>
    <x v="8"/>
    <x v="0"/>
    <x v="2"/>
    <n v="3"/>
    <n v="7"/>
    <x v="0"/>
  </r>
  <r>
    <n v="24"/>
    <x v="2"/>
    <x v="0"/>
    <x v="0"/>
    <s v="Portugal"/>
    <x v="23"/>
    <x v="2"/>
    <x v="0"/>
    <x v="17"/>
    <x v="2"/>
    <x v="1"/>
    <n v="4"/>
    <n v="8"/>
    <x v="0"/>
  </r>
  <r>
    <n v="25"/>
    <x v="1"/>
    <x v="1"/>
    <x v="1"/>
    <s v="Greece"/>
    <x v="24"/>
    <x v="4"/>
    <x v="1"/>
    <x v="18"/>
    <x v="3"/>
    <x v="0"/>
    <n v="2"/>
    <n v="5"/>
    <x v="1"/>
  </r>
  <r>
    <n v="26"/>
    <x v="0"/>
    <x v="0"/>
    <x v="2"/>
    <s v="Ireland"/>
    <x v="25"/>
    <x v="0"/>
    <x v="0"/>
    <x v="19"/>
    <x v="2"/>
    <x v="2"/>
    <n v="4"/>
    <n v="9"/>
    <x v="0"/>
  </r>
  <r>
    <n v="27"/>
    <x v="4"/>
    <x v="1"/>
    <x v="0"/>
    <s v="New Zealand"/>
    <x v="26"/>
    <x v="3"/>
    <x v="1"/>
    <x v="20"/>
    <x v="3"/>
    <x v="1"/>
    <n v="1"/>
    <n v="5"/>
    <x v="0"/>
  </r>
  <r>
    <n v="28"/>
    <x v="2"/>
    <x v="0"/>
    <x v="0"/>
    <s v="Singapore"/>
    <x v="27"/>
    <x v="2"/>
    <x v="0"/>
    <x v="15"/>
    <x v="0"/>
    <x v="0"/>
    <n v="3"/>
    <n v="7"/>
    <x v="0"/>
  </r>
  <r>
    <n v="29"/>
    <x v="6"/>
    <x v="1"/>
    <x v="1"/>
    <s v="Malaysia"/>
    <x v="28"/>
    <x v="5"/>
    <x v="1"/>
    <x v="21"/>
    <x v="1"/>
    <x v="1"/>
    <n v="0"/>
    <n v="3"/>
    <x v="1"/>
  </r>
  <r>
    <n v="30"/>
    <x v="0"/>
    <x v="0"/>
    <x v="2"/>
    <s v="Thailand"/>
    <x v="29"/>
    <x v="0"/>
    <x v="0"/>
    <x v="22"/>
    <x v="2"/>
    <x v="2"/>
    <n v="4"/>
    <n v="8"/>
    <x v="0"/>
  </r>
  <r>
    <n v="31"/>
    <x v="4"/>
    <x v="1"/>
    <x v="0"/>
    <s v="Vietnam"/>
    <x v="30"/>
    <x v="4"/>
    <x v="1"/>
    <x v="14"/>
    <x v="3"/>
    <x v="1"/>
    <n v="1"/>
    <n v="5"/>
    <x v="0"/>
  </r>
  <r>
    <n v="32"/>
    <x v="2"/>
    <x v="0"/>
    <x v="0"/>
    <s v="Philippines"/>
    <x v="10"/>
    <x v="6"/>
    <x v="0"/>
    <x v="13"/>
    <x v="0"/>
    <x v="0"/>
    <n v="3"/>
    <n v="7"/>
    <x v="0"/>
  </r>
  <r>
    <n v="33"/>
    <x v="3"/>
    <x v="1"/>
    <x v="2"/>
    <s v="Indonesia"/>
    <x v="31"/>
    <x v="2"/>
    <x v="0"/>
    <x v="17"/>
    <x v="2"/>
    <x v="2"/>
    <n v="4"/>
    <n v="8"/>
    <x v="0"/>
  </r>
  <r>
    <n v="34"/>
    <x v="5"/>
    <x v="0"/>
    <x v="1"/>
    <s v="Taiwan"/>
    <x v="32"/>
    <x v="5"/>
    <x v="1"/>
    <x v="9"/>
    <x v="1"/>
    <x v="1"/>
    <n v="1"/>
    <n v="4"/>
    <x v="1"/>
  </r>
  <r>
    <n v="35"/>
    <x v="0"/>
    <x v="1"/>
    <x v="0"/>
    <s v="Hong Kong"/>
    <x v="19"/>
    <x v="0"/>
    <x v="0"/>
    <x v="8"/>
    <x v="0"/>
    <x v="0"/>
    <n v="3"/>
    <n v="7"/>
    <x v="0"/>
  </r>
  <r>
    <n v="36"/>
    <x v="2"/>
    <x v="0"/>
    <x v="0"/>
    <s v="Turkey"/>
    <x v="33"/>
    <x v="2"/>
    <x v="0"/>
    <x v="10"/>
    <x v="2"/>
    <x v="2"/>
    <n v="4"/>
    <n v="8"/>
    <x v="0"/>
  </r>
  <r>
    <n v="37"/>
    <x v="1"/>
    <x v="1"/>
    <x v="1"/>
    <s v="Israel"/>
    <x v="34"/>
    <x v="4"/>
    <x v="1"/>
    <x v="11"/>
    <x v="3"/>
    <x v="1"/>
    <n v="1"/>
    <n v="5"/>
    <x v="1"/>
  </r>
  <r>
    <n v="38"/>
    <x v="0"/>
    <x v="0"/>
    <x v="2"/>
    <s v="UAE"/>
    <x v="35"/>
    <x v="0"/>
    <x v="0"/>
    <x v="23"/>
    <x v="2"/>
    <x v="0"/>
    <n v="4"/>
    <n v="9"/>
    <x v="0"/>
  </r>
  <r>
    <n v="39"/>
    <x v="4"/>
    <x v="1"/>
    <x v="0"/>
    <s v="Egypt"/>
    <x v="36"/>
    <x v="3"/>
    <x v="1"/>
    <x v="0"/>
    <x v="3"/>
    <x v="2"/>
    <n v="2"/>
    <n v="6"/>
    <x v="0"/>
  </r>
  <r>
    <n v="40"/>
    <x v="2"/>
    <x v="0"/>
    <x v="0"/>
    <s v="Morocco"/>
    <x v="4"/>
    <x v="2"/>
    <x v="0"/>
    <x v="8"/>
    <x v="0"/>
    <x v="1"/>
    <n v="3"/>
    <n v="7"/>
    <x v="0"/>
  </r>
  <r>
    <n v="41"/>
    <x v="6"/>
    <x v="1"/>
    <x v="1"/>
    <s v="South Africa"/>
    <x v="37"/>
    <x v="5"/>
    <x v="1"/>
    <x v="16"/>
    <x v="1"/>
    <x v="0"/>
    <n v="1"/>
    <n v="4"/>
    <x v="1"/>
  </r>
  <r>
    <n v="42"/>
    <x v="0"/>
    <x v="0"/>
    <x v="2"/>
    <s v="Nigeria"/>
    <x v="7"/>
    <x v="0"/>
    <x v="0"/>
    <x v="17"/>
    <x v="2"/>
    <x v="2"/>
    <n v="4"/>
    <n v="8"/>
    <x v="0"/>
  </r>
  <r>
    <n v="43"/>
    <x v="4"/>
    <x v="1"/>
    <x v="0"/>
    <s v="Kenya"/>
    <x v="14"/>
    <x v="4"/>
    <x v="1"/>
    <x v="20"/>
    <x v="3"/>
    <x v="1"/>
    <n v="2"/>
    <n v="5"/>
    <x v="0"/>
  </r>
  <r>
    <n v="44"/>
    <x v="2"/>
    <x v="0"/>
    <x v="0"/>
    <s v="Ghana"/>
    <x v="38"/>
    <x v="6"/>
    <x v="0"/>
    <x v="13"/>
    <x v="0"/>
    <x v="0"/>
    <n v="3"/>
    <n v="7"/>
    <x v="0"/>
  </r>
  <r>
    <n v="45"/>
    <x v="3"/>
    <x v="1"/>
    <x v="2"/>
    <s v="Argentina"/>
    <x v="11"/>
    <x v="2"/>
    <x v="0"/>
    <x v="22"/>
    <x v="2"/>
    <x v="1"/>
    <n v="4"/>
    <n v="8"/>
    <x v="0"/>
  </r>
  <r>
    <n v="46"/>
    <x v="5"/>
    <x v="0"/>
    <x v="1"/>
    <s v="Chile"/>
    <x v="39"/>
    <x v="5"/>
    <x v="1"/>
    <x v="24"/>
    <x v="1"/>
    <x v="2"/>
    <n v="1"/>
    <n v="4"/>
    <x v="1"/>
  </r>
  <r>
    <n v="47"/>
    <x v="0"/>
    <x v="1"/>
    <x v="0"/>
    <s v="Colombia"/>
    <x v="10"/>
    <x v="0"/>
    <x v="0"/>
    <x v="15"/>
    <x v="0"/>
    <x v="0"/>
    <n v="3"/>
    <n v="7"/>
    <x v="0"/>
  </r>
  <r>
    <n v="48"/>
    <x v="2"/>
    <x v="0"/>
    <x v="0"/>
    <s v="Peru"/>
    <x v="11"/>
    <x v="2"/>
    <x v="0"/>
    <x v="25"/>
    <x v="2"/>
    <x v="1"/>
    <n v="4"/>
    <n v="8"/>
    <x v="0"/>
  </r>
  <r>
    <n v="49"/>
    <x v="1"/>
    <x v="1"/>
    <x v="1"/>
    <s v="Venezuela"/>
    <x v="9"/>
    <x v="4"/>
    <x v="1"/>
    <x v="14"/>
    <x v="3"/>
    <x v="0"/>
    <n v="2"/>
    <n v="5"/>
    <x v="1"/>
  </r>
  <r>
    <n v="50"/>
    <x v="0"/>
    <x v="0"/>
    <x v="2"/>
    <s v="Ecuador"/>
    <x v="40"/>
    <x v="0"/>
    <x v="0"/>
    <x v="19"/>
    <x v="2"/>
    <x v="2"/>
    <n v="4"/>
    <n v="9"/>
    <x v="0"/>
  </r>
  <r>
    <n v="51"/>
    <x v="4"/>
    <x v="1"/>
    <x v="0"/>
    <s v="Uruguay"/>
    <x v="26"/>
    <x v="3"/>
    <x v="1"/>
    <x v="26"/>
    <x v="3"/>
    <x v="1"/>
    <n v="2"/>
    <n v="6"/>
    <x v="0"/>
  </r>
  <r>
    <n v="52"/>
    <x v="2"/>
    <x v="0"/>
    <x v="0"/>
    <s v="Paraguay"/>
    <x v="19"/>
    <x v="2"/>
    <x v="0"/>
    <x v="8"/>
    <x v="0"/>
    <x v="0"/>
    <n v="3"/>
    <n v="7"/>
    <x v="0"/>
  </r>
  <r>
    <n v="53"/>
    <x v="6"/>
    <x v="1"/>
    <x v="1"/>
    <s v="Bolivia"/>
    <x v="41"/>
    <x v="5"/>
    <x v="1"/>
    <x v="9"/>
    <x v="1"/>
    <x v="2"/>
    <n v="1"/>
    <n v="4"/>
    <x v="1"/>
  </r>
  <r>
    <n v="54"/>
    <x v="0"/>
    <x v="0"/>
    <x v="2"/>
    <s v="Costa Rica"/>
    <x v="23"/>
    <x v="0"/>
    <x v="0"/>
    <x v="10"/>
    <x v="2"/>
    <x v="1"/>
    <n v="4"/>
    <n v="8"/>
    <x v="0"/>
  </r>
  <r>
    <n v="55"/>
    <x v="4"/>
    <x v="1"/>
    <x v="0"/>
    <s v="Panama"/>
    <x v="30"/>
    <x v="4"/>
    <x v="1"/>
    <x v="0"/>
    <x v="3"/>
    <x v="0"/>
    <n v="2"/>
    <n v="5"/>
    <x v="0"/>
  </r>
  <r>
    <n v="56"/>
    <x v="2"/>
    <x v="0"/>
    <x v="0"/>
    <s v="Jamaica"/>
    <x v="22"/>
    <x v="6"/>
    <x v="0"/>
    <x v="25"/>
    <x v="0"/>
    <x v="2"/>
    <n v="3"/>
    <n v="7"/>
    <x v="0"/>
  </r>
  <r>
    <n v="57"/>
    <x v="3"/>
    <x v="1"/>
    <x v="2"/>
    <s v="Trinidad"/>
    <x v="33"/>
    <x v="2"/>
    <x v="0"/>
    <x v="19"/>
    <x v="2"/>
    <x v="1"/>
    <n v="4"/>
    <n v="8"/>
    <x v="0"/>
  </r>
  <r>
    <n v="58"/>
    <x v="5"/>
    <x v="0"/>
    <x v="1"/>
    <s v="Bahamas"/>
    <x v="12"/>
    <x v="5"/>
    <x v="1"/>
    <x v="3"/>
    <x v="1"/>
    <x v="0"/>
    <n v="1"/>
    <n v="4"/>
    <x v="1"/>
  </r>
  <r>
    <n v="59"/>
    <x v="0"/>
    <x v="1"/>
    <x v="0"/>
    <s v="Iceland"/>
    <x v="38"/>
    <x v="0"/>
    <x v="0"/>
    <x v="15"/>
    <x v="0"/>
    <x v="2"/>
    <n v="3"/>
    <n v="7"/>
    <x v="0"/>
  </r>
  <r>
    <n v="60"/>
    <x v="2"/>
    <x v="0"/>
    <x v="0"/>
    <s v="Finland"/>
    <x v="31"/>
    <x v="2"/>
    <x v="0"/>
    <x v="13"/>
    <x v="2"/>
    <x v="1"/>
    <n v="4"/>
    <n v="8"/>
    <x v="0"/>
  </r>
  <r>
    <n v="61"/>
    <x v="1"/>
    <x v="1"/>
    <x v="1"/>
    <s v="Poland"/>
    <x v="34"/>
    <x v="4"/>
    <x v="1"/>
    <x v="24"/>
    <x v="3"/>
    <x v="1"/>
    <n v="1"/>
    <n v="5"/>
    <x v="1"/>
  </r>
  <r>
    <n v="62"/>
    <x v="0"/>
    <x v="0"/>
    <x v="0"/>
    <s v="Romania"/>
    <x v="33"/>
    <x v="0"/>
    <x v="0"/>
    <x v="25"/>
    <x v="2"/>
    <x v="0"/>
    <n v="3"/>
    <n v="8"/>
    <x v="0"/>
  </r>
  <r>
    <n v="63"/>
    <x v="2"/>
    <x v="1"/>
    <x v="0"/>
    <s v="Hungary"/>
    <x v="15"/>
    <x v="2"/>
    <x v="0"/>
    <x v="4"/>
    <x v="0"/>
    <x v="2"/>
    <n v="3"/>
    <n v="7"/>
    <x v="0"/>
  </r>
  <r>
    <n v="64"/>
    <x v="3"/>
    <x v="0"/>
    <x v="2"/>
    <s v="Czech Republic"/>
    <x v="25"/>
    <x v="6"/>
    <x v="0"/>
    <x v="19"/>
    <x v="4"/>
    <x v="1"/>
    <n v="4"/>
    <n v="9"/>
    <x v="0"/>
  </r>
  <r>
    <n v="65"/>
    <x v="5"/>
    <x v="1"/>
    <x v="1"/>
    <s v="Slovakia"/>
    <x v="37"/>
    <x v="5"/>
    <x v="1"/>
    <x v="21"/>
    <x v="1"/>
    <x v="0"/>
    <n v="1"/>
    <n v="3"/>
    <x v="1"/>
  </r>
  <r>
    <n v="66"/>
    <x v="4"/>
    <x v="0"/>
    <x v="0"/>
    <s v="Croatia"/>
    <x v="10"/>
    <x v="0"/>
    <x v="0"/>
    <x v="8"/>
    <x v="0"/>
    <x v="1"/>
    <n v="3"/>
    <n v="7"/>
    <x v="0"/>
  </r>
  <r>
    <n v="67"/>
    <x v="2"/>
    <x v="1"/>
    <x v="0"/>
    <s v="Serbia"/>
    <x v="36"/>
    <x v="3"/>
    <x v="1"/>
    <x v="0"/>
    <x v="3"/>
    <x v="2"/>
    <n v="2"/>
    <n v="6"/>
    <x v="0"/>
  </r>
  <r>
    <n v="68"/>
    <x v="0"/>
    <x v="0"/>
    <x v="2"/>
    <s v="Slovenia"/>
    <x v="23"/>
    <x v="2"/>
    <x v="0"/>
    <x v="17"/>
    <x v="2"/>
    <x v="0"/>
    <n v="4"/>
    <n v="8"/>
    <x v="0"/>
  </r>
  <r>
    <n v="69"/>
    <x v="1"/>
    <x v="1"/>
    <x v="1"/>
    <s v="Bulgaria"/>
    <x v="12"/>
    <x v="5"/>
    <x v="1"/>
    <x v="9"/>
    <x v="1"/>
    <x v="1"/>
    <n v="1"/>
    <n v="4"/>
    <x v="1"/>
  </r>
  <r>
    <n v="70"/>
    <x v="2"/>
    <x v="0"/>
    <x v="0"/>
    <s v="Estonia"/>
    <x v="4"/>
    <x v="0"/>
    <x v="0"/>
    <x v="15"/>
    <x v="0"/>
    <x v="2"/>
    <n v="3"/>
    <n v="7"/>
    <x v="0"/>
  </r>
  <r>
    <n v="71"/>
    <x v="3"/>
    <x v="1"/>
    <x v="2"/>
    <s v="Latvia"/>
    <x v="31"/>
    <x v="6"/>
    <x v="0"/>
    <x v="10"/>
    <x v="2"/>
    <x v="1"/>
    <n v="4"/>
    <n v="8"/>
    <x v="0"/>
  </r>
  <r>
    <n v="72"/>
    <x v="4"/>
    <x v="0"/>
    <x v="1"/>
    <s v="Lithuania"/>
    <x v="24"/>
    <x v="4"/>
    <x v="1"/>
    <x v="11"/>
    <x v="3"/>
    <x v="0"/>
    <n v="2"/>
    <n v="5"/>
    <x v="1"/>
  </r>
  <r>
    <n v="73"/>
    <x v="0"/>
    <x v="1"/>
    <x v="0"/>
    <s v="Ukraine"/>
    <x v="22"/>
    <x v="2"/>
    <x v="0"/>
    <x v="13"/>
    <x v="0"/>
    <x v="2"/>
    <n v="3"/>
    <n v="7"/>
    <x v="0"/>
  </r>
  <r>
    <n v="74"/>
    <x v="2"/>
    <x v="0"/>
    <x v="0"/>
    <s v="Moldova"/>
    <x v="7"/>
    <x v="0"/>
    <x v="0"/>
    <x v="22"/>
    <x v="2"/>
    <x v="1"/>
    <n v="4"/>
    <n v="8"/>
    <x v="0"/>
  </r>
  <r>
    <n v="75"/>
    <x v="5"/>
    <x v="1"/>
    <x v="1"/>
    <s v="Belarus"/>
    <x v="21"/>
    <x v="5"/>
    <x v="1"/>
    <x v="16"/>
    <x v="1"/>
    <x v="0"/>
    <n v="1"/>
    <n v="4"/>
    <x v="1"/>
  </r>
  <r>
    <n v="76"/>
    <x v="4"/>
    <x v="0"/>
    <x v="0"/>
    <s v="Kazakhstan"/>
    <x v="38"/>
    <x v="6"/>
    <x v="0"/>
    <x v="8"/>
    <x v="0"/>
    <x v="1"/>
    <n v="3"/>
    <n v="7"/>
    <x v="0"/>
  </r>
  <r>
    <n v="77"/>
    <x v="0"/>
    <x v="1"/>
    <x v="2"/>
    <s v="Uzbekistan"/>
    <x v="11"/>
    <x v="2"/>
    <x v="0"/>
    <x v="17"/>
    <x v="2"/>
    <x v="2"/>
    <n v="4"/>
    <n v="8"/>
    <x v="0"/>
  </r>
  <r>
    <n v="78"/>
    <x v="1"/>
    <x v="0"/>
    <x v="1"/>
    <s v="Kyrgyzstan"/>
    <x v="42"/>
    <x v="4"/>
    <x v="1"/>
    <x v="3"/>
    <x v="3"/>
    <x v="0"/>
    <n v="2"/>
    <n v="5"/>
    <x v="1"/>
  </r>
  <r>
    <n v="79"/>
    <x v="2"/>
    <x v="1"/>
    <x v="0"/>
    <s v="Tajikistan"/>
    <x v="19"/>
    <x v="3"/>
    <x v="0"/>
    <x v="15"/>
    <x v="0"/>
    <x v="1"/>
    <n v="3"/>
    <n v="7"/>
    <x v="0"/>
  </r>
  <r>
    <n v="80"/>
    <x v="3"/>
    <x v="0"/>
    <x v="2"/>
    <s v="Armenia"/>
    <x v="29"/>
    <x v="0"/>
    <x v="0"/>
    <x v="19"/>
    <x v="2"/>
    <x v="2"/>
    <n v="4"/>
    <n v="9"/>
    <x v="0"/>
  </r>
  <r>
    <n v="81"/>
    <x v="4"/>
    <x v="1"/>
    <x v="1"/>
    <s v="Georgia"/>
    <x v="3"/>
    <x v="5"/>
    <x v="1"/>
    <x v="24"/>
    <x v="1"/>
    <x v="0"/>
    <n v="1"/>
    <n v="4"/>
    <x v="1"/>
  </r>
  <r>
    <n v="82"/>
    <x v="0"/>
    <x v="0"/>
    <x v="0"/>
    <s v="Azerbaijan"/>
    <x v="10"/>
    <x v="2"/>
    <x v="0"/>
    <x v="13"/>
    <x v="0"/>
    <x v="1"/>
    <n v="3"/>
    <n v="7"/>
    <x v="0"/>
  </r>
  <r>
    <n v="83"/>
    <x v="2"/>
    <x v="1"/>
    <x v="0"/>
    <s v="Cyprus"/>
    <x v="26"/>
    <x v="4"/>
    <x v="1"/>
    <x v="20"/>
    <x v="3"/>
    <x v="2"/>
    <n v="2"/>
    <n v="6"/>
    <x v="0"/>
  </r>
  <r>
    <n v="84"/>
    <x v="1"/>
    <x v="0"/>
    <x v="1"/>
    <s v="Malta"/>
    <x v="39"/>
    <x v="5"/>
    <x v="1"/>
    <x v="9"/>
    <x v="1"/>
    <x v="0"/>
    <n v="1"/>
    <n v="4"/>
    <x v="1"/>
  </r>
  <r>
    <n v="85"/>
    <x v="3"/>
    <x v="1"/>
    <x v="2"/>
    <s v="Luxembourg"/>
    <x v="33"/>
    <x v="6"/>
    <x v="0"/>
    <x v="22"/>
    <x v="2"/>
    <x v="1"/>
    <n v="4"/>
    <n v="8"/>
    <x v="0"/>
  </r>
  <r>
    <n v="86"/>
    <x v="4"/>
    <x v="0"/>
    <x v="0"/>
    <s v="Monaco"/>
    <x v="4"/>
    <x v="0"/>
    <x v="0"/>
    <x v="8"/>
    <x v="0"/>
    <x v="2"/>
    <n v="3"/>
    <n v="7"/>
    <x v="0"/>
  </r>
  <r>
    <n v="87"/>
    <x v="0"/>
    <x v="1"/>
    <x v="2"/>
    <s v="Andorra"/>
    <x v="20"/>
    <x v="2"/>
    <x v="0"/>
    <x v="10"/>
    <x v="2"/>
    <x v="0"/>
    <n v="4"/>
    <n v="8"/>
    <x v="0"/>
  </r>
  <r>
    <n v="88"/>
    <x v="5"/>
    <x v="0"/>
    <x v="1"/>
    <s v="San Marino"/>
    <x v="32"/>
    <x v="5"/>
    <x v="1"/>
    <x v="16"/>
    <x v="1"/>
    <x v="1"/>
    <n v="1"/>
    <n v="4"/>
    <x v="1"/>
  </r>
  <r>
    <n v="89"/>
    <x v="2"/>
    <x v="1"/>
    <x v="0"/>
    <s v="Vatican City"/>
    <x v="27"/>
    <x v="3"/>
    <x v="0"/>
    <x v="4"/>
    <x v="0"/>
    <x v="2"/>
    <n v="3"/>
    <n v="7"/>
    <x v="0"/>
  </r>
  <r>
    <n v="90"/>
    <x v="3"/>
    <x v="0"/>
    <x v="2"/>
    <s v="Liechtenstein"/>
    <x v="7"/>
    <x v="0"/>
    <x v="0"/>
    <x v="19"/>
    <x v="2"/>
    <x v="1"/>
    <n v="4"/>
    <n v="9"/>
    <x v="0"/>
  </r>
  <r>
    <n v="91"/>
    <x v="1"/>
    <x v="1"/>
    <x v="1"/>
    <s v="Montenegro"/>
    <x v="42"/>
    <x v="4"/>
    <x v="1"/>
    <x v="3"/>
    <x v="3"/>
    <x v="0"/>
    <n v="2"/>
    <n v="5"/>
    <x v="1"/>
  </r>
  <r>
    <n v="92"/>
    <x v="0"/>
    <x v="0"/>
    <x v="0"/>
    <s v="Albania"/>
    <x v="19"/>
    <x v="2"/>
    <x v="0"/>
    <x v="8"/>
    <x v="0"/>
    <x v="2"/>
    <n v="3"/>
    <n v="7"/>
    <x v="0"/>
  </r>
  <r>
    <n v="93"/>
    <x v="4"/>
    <x v="1"/>
    <x v="0"/>
    <s v="North Macedonia"/>
    <x v="14"/>
    <x v="6"/>
    <x v="1"/>
    <x v="0"/>
    <x v="3"/>
    <x v="1"/>
    <n v="2"/>
    <n v="6"/>
    <x v="0"/>
  </r>
  <r>
    <n v="94"/>
    <x v="2"/>
    <x v="0"/>
    <x v="2"/>
    <s v="Kosovo"/>
    <x v="11"/>
    <x v="0"/>
    <x v="0"/>
    <x v="17"/>
    <x v="2"/>
    <x v="0"/>
    <n v="4"/>
    <n v="8"/>
    <x v="0"/>
  </r>
  <r>
    <n v="95"/>
    <x v="5"/>
    <x v="1"/>
    <x v="1"/>
    <s v="Bosnia"/>
    <x v="41"/>
    <x v="5"/>
    <x v="1"/>
    <x v="21"/>
    <x v="1"/>
    <x v="2"/>
    <n v="1"/>
    <n v="4"/>
    <x v="1"/>
  </r>
  <r>
    <n v="96"/>
    <x v="0"/>
    <x v="0"/>
    <x v="0"/>
    <s v="Qatar"/>
    <x v="22"/>
    <x v="2"/>
    <x v="0"/>
    <x v="13"/>
    <x v="0"/>
    <x v="1"/>
    <n v="3"/>
    <n v="7"/>
    <x v="0"/>
  </r>
  <r>
    <n v="97"/>
    <x v="3"/>
    <x v="1"/>
    <x v="2"/>
    <s v="Kuwait"/>
    <x v="23"/>
    <x v="6"/>
    <x v="0"/>
    <x v="22"/>
    <x v="2"/>
    <x v="0"/>
    <n v="4"/>
    <n v="8"/>
    <x v="0"/>
  </r>
  <r>
    <n v="98"/>
    <x v="1"/>
    <x v="0"/>
    <x v="1"/>
    <s v="Bahrain"/>
    <x v="12"/>
    <x v="5"/>
    <x v="1"/>
    <x v="24"/>
    <x v="1"/>
    <x v="2"/>
    <n v="1"/>
    <n v="4"/>
    <x v="1"/>
  </r>
  <r>
    <n v="99"/>
    <x v="2"/>
    <x v="1"/>
    <x v="0"/>
    <s v="Oman"/>
    <x v="38"/>
    <x v="0"/>
    <x v="0"/>
    <x v="15"/>
    <x v="0"/>
    <x v="1"/>
    <n v="3"/>
    <n v="7"/>
    <x v="0"/>
  </r>
  <r>
    <n v="100"/>
    <x v="4"/>
    <x v="0"/>
    <x v="0"/>
    <s v="Jordan"/>
    <x v="31"/>
    <x v="2"/>
    <x v="0"/>
    <x v="10"/>
    <x v="2"/>
    <x v="0"/>
    <n v="4"/>
    <n v="8"/>
    <x v="0"/>
  </r>
  <r>
    <n v="101"/>
    <x v="0"/>
    <x v="1"/>
    <x v="2"/>
    <s v="Lebanon"/>
    <x v="7"/>
    <x v="3"/>
    <x v="0"/>
    <x v="19"/>
    <x v="2"/>
    <x v="2"/>
    <n v="4"/>
    <n v="9"/>
    <x v="0"/>
  </r>
  <r>
    <n v="102"/>
    <x v="5"/>
    <x v="0"/>
    <x v="1"/>
    <s v="Iraq"/>
    <x v="21"/>
    <x v="5"/>
    <x v="1"/>
    <x v="16"/>
    <x v="1"/>
    <x v="1"/>
    <n v="1"/>
    <n v="4"/>
    <x v="1"/>
  </r>
  <r>
    <n v="103"/>
    <x v="2"/>
    <x v="1"/>
    <x v="0"/>
    <s v="Yemen"/>
    <x v="19"/>
    <x v="4"/>
    <x v="0"/>
    <x v="8"/>
    <x v="0"/>
    <x v="0"/>
    <n v="3"/>
    <n v="7"/>
    <x v="0"/>
  </r>
  <r>
    <n v="104"/>
    <x v="3"/>
    <x v="0"/>
    <x v="2"/>
    <s v="Syria"/>
    <x v="33"/>
    <x v="0"/>
    <x v="0"/>
    <x v="17"/>
    <x v="2"/>
    <x v="1"/>
    <n v="4"/>
    <n v="8"/>
    <x v="0"/>
  </r>
  <r>
    <n v="105"/>
    <x v="1"/>
    <x v="1"/>
    <x v="1"/>
    <s v="Afghanistan"/>
    <x v="42"/>
    <x v="5"/>
    <x v="1"/>
    <x v="3"/>
    <x v="3"/>
    <x v="2"/>
    <n v="2"/>
    <n v="5"/>
    <x v="1"/>
  </r>
  <r>
    <n v="106"/>
    <x v="0"/>
    <x v="0"/>
    <x v="0"/>
    <s v="Pakistan"/>
    <x v="10"/>
    <x v="2"/>
    <x v="0"/>
    <x v="13"/>
    <x v="0"/>
    <x v="0"/>
    <n v="3"/>
    <n v="7"/>
    <x v="0"/>
  </r>
  <r>
    <n v="107"/>
    <x v="4"/>
    <x v="1"/>
    <x v="0"/>
    <s v="Nepal"/>
    <x v="26"/>
    <x v="3"/>
    <x v="1"/>
    <x v="20"/>
    <x v="3"/>
    <x v="1"/>
    <n v="2"/>
    <n v="6"/>
    <x v="0"/>
  </r>
  <r>
    <n v="108"/>
    <x v="2"/>
    <x v="0"/>
    <x v="2"/>
    <s v="Bhutan"/>
    <x v="11"/>
    <x v="6"/>
    <x v="0"/>
    <x v="10"/>
    <x v="2"/>
    <x v="2"/>
    <n v="4"/>
    <n v="8"/>
    <x v="0"/>
  </r>
  <r>
    <n v="109"/>
    <x v="5"/>
    <x v="1"/>
    <x v="1"/>
    <s v="Sri Lanka"/>
    <x v="32"/>
    <x v="5"/>
    <x v="1"/>
    <x v="9"/>
    <x v="1"/>
    <x v="0"/>
    <n v="1"/>
    <n v="4"/>
    <x v="1"/>
  </r>
  <r>
    <n v="110"/>
    <x v="0"/>
    <x v="0"/>
    <x v="0"/>
    <s v="Maldives"/>
    <x v="22"/>
    <x v="0"/>
    <x v="0"/>
    <x v="8"/>
    <x v="0"/>
    <x v="1"/>
    <n v="3"/>
    <n v="7"/>
    <x v="0"/>
  </r>
  <r>
    <n v="111"/>
    <x v="2"/>
    <x v="1"/>
    <x v="0"/>
    <s v="Bangladesh"/>
    <x v="25"/>
    <x v="0"/>
    <x v="0"/>
    <x v="7"/>
    <x v="2"/>
    <x v="1"/>
    <n v="4"/>
    <n v="8"/>
    <x v="0"/>
  </r>
  <r>
    <n v="112"/>
    <x v="4"/>
    <x v="0"/>
    <x v="0"/>
    <s v="India"/>
    <x v="7"/>
    <x v="2"/>
    <x v="0"/>
    <x v="15"/>
    <x v="0"/>
    <x v="0"/>
    <n v="3"/>
    <n v="7"/>
    <x v="0"/>
  </r>
  <r>
    <n v="113"/>
    <x v="0"/>
    <x v="1"/>
    <x v="0"/>
    <s v="Nepal"/>
    <x v="22"/>
    <x v="4"/>
    <x v="1"/>
    <x v="24"/>
    <x v="3"/>
    <x v="1"/>
    <n v="2"/>
    <n v="5"/>
    <x v="0"/>
  </r>
  <r>
    <n v="114"/>
    <x v="1"/>
    <x v="0"/>
    <x v="1"/>
    <s v="Pakistan"/>
    <x v="11"/>
    <x v="0"/>
    <x v="0"/>
    <x v="4"/>
    <x v="2"/>
    <x v="1"/>
    <n v="4"/>
    <n v="8"/>
    <x v="0"/>
  </r>
  <r>
    <n v="115"/>
    <x v="2"/>
    <x v="1"/>
    <x v="0"/>
    <s v="Sri Lanka"/>
    <x v="0"/>
    <x v="2"/>
    <x v="0"/>
    <x v="27"/>
    <x v="0"/>
    <x v="0"/>
    <n v="3"/>
    <n v="7"/>
    <x v="0"/>
  </r>
  <r>
    <n v="116"/>
    <x v="0"/>
    <x v="0"/>
    <x v="0"/>
    <s v="Maldives"/>
    <x v="10"/>
    <x v="0"/>
    <x v="1"/>
    <x v="9"/>
    <x v="1"/>
    <x v="1"/>
    <n v="2"/>
    <n v="5"/>
    <x v="0"/>
  </r>
  <r>
    <n v="117"/>
    <x v="4"/>
    <x v="1"/>
    <x v="1"/>
    <s v="Bangladesh"/>
    <x v="2"/>
    <x v="4"/>
    <x v="0"/>
    <x v="8"/>
    <x v="2"/>
    <x v="0"/>
    <n v="4"/>
    <n v="8"/>
    <x v="0"/>
  </r>
  <r>
    <n v="118"/>
    <x v="2"/>
    <x v="0"/>
    <x v="0"/>
    <s v="India"/>
    <x v="23"/>
    <x v="0"/>
    <x v="0"/>
    <x v="28"/>
    <x v="0"/>
    <x v="1"/>
    <n v="3"/>
    <n v="7"/>
    <x v="0"/>
  </r>
  <r>
    <n v="119"/>
    <x v="1"/>
    <x v="1"/>
    <x v="1"/>
    <s v="Nepal"/>
    <x v="19"/>
    <x v="2"/>
    <x v="1"/>
    <x v="16"/>
    <x v="3"/>
    <x v="1"/>
    <n v="2"/>
    <n v="5"/>
    <x v="0"/>
  </r>
  <r>
    <n v="120"/>
    <x v="0"/>
    <x v="0"/>
    <x v="0"/>
    <s v="Pakistan"/>
    <x v="31"/>
    <x v="0"/>
    <x v="0"/>
    <x v="7"/>
    <x v="2"/>
    <x v="0"/>
    <n v="4"/>
    <n v="8"/>
    <x v="0"/>
  </r>
  <r>
    <n v="121"/>
    <x v="2"/>
    <x v="1"/>
    <x v="0"/>
    <s v="Sri Lanka"/>
    <x v="29"/>
    <x v="4"/>
    <x v="0"/>
    <x v="15"/>
    <x v="0"/>
    <x v="1"/>
    <n v="3"/>
    <n v="7"/>
    <x v="0"/>
  </r>
  <r>
    <n v="122"/>
    <x v="4"/>
    <x v="0"/>
    <x v="1"/>
    <s v="Maldives"/>
    <x v="38"/>
    <x v="0"/>
    <x v="1"/>
    <x v="21"/>
    <x v="1"/>
    <x v="0"/>
    <n v="2"/>
    <n v="5"/>
    <x v="0"/>
  </r>
  <r>
    <n v="123"/>
    <x v="0"/>
    <x v="1"/>
    <x v="0"/>
    <s v="Bangladesh"/>
    <x v="20"/>
    <x v="2"/>
    <x v="0"/>
    <x v="27"/>
    <x v="2"/>
    <x v="1"/>
    <n v="4"/>
    <n v="8"/>
    <x v="0"/>
  </r>
  <r>
    <n v="124"/>
    <x v="1"/>
    <x v="0"/>
    <x v="1"/>
    <s v="India"/>
    <x v="7"/>
    <x v="0"/>
    <x v="0"/>
    <x v="8"/>
    <x v="0"/>
    <x v="0"/>
    <n v="3"/>
    <n v="7"/>
    <x v="0"/>
  </r>
  <r>
    <n v="125"/>
    <x v="2"/>
    <x v="1"/>
    <x v="0"/>
    <s v="Nepal"/>
    <x v="4"/>
    <x v="4"/>
    <x v="1"/>
    <x v="1"/>
    <x v="3"/>
    <x v="1"/>
    <n v="2"/>
    <n v="5"/>
    <x v="0"/>
  </r>
  <r>
    <n v="126"/>
    <x v="4"/>
    <x v="0"/>
    <x v="1"/>
    <s v="Pakistan"/>
    <x v="0"/>
    <x v="0"/>
    <x v="0"/>
    <x v="26"/>
    <x v="2"/>
    <x v="0"/>
    <n v="4"/>
    <n v="8"/>
    <x v="0"/>
  </r>
  <r>
    <n v="127"/>
    <x v="0"/>
    <x v="1"/>
    <x v="0"/>
    <s v="Sri Lanka"/>
    <x v="23"/>
    <x v="2"/>
    <x v="0"/>
    <x v="13"/>
    <x v="0"/>
    <x v="1"/>
    <n v="3"/>
    <n v="7"/>
    <x v="0"/>
  </r>
  <r>
    <n v="128"/>
    <x v="2"/>
    <x v="0"/>
    <x v="0"/>
    <s v="Maldives"/>
    <x v="27"/>
    <x v="0"/>
    <x v="1"/>
    <x v="29"/>
    <x v="1"/>
    <x v="0"/>
    <n v="2"/>
    <n v="5"/>
    <x v="0"/>
  </r>
  <r>
    <n v="129"/>
    <x v="1"/>
    <x v="1"/>
    <x v="1"/>
    <s v="Bangladesh"/>
    <x v="43"/>
    <x v="4"/>
    <x v="0"/>
    <x v="0"/>
    <x v="2"/>
    <x v="1"/>
    <n v="4"/>
    <n v="8"/>
    <x v="0"/>
  </r>
  <r>
    <n v="130"/>
    <x v="4"/>
    <x v="0"/>
    <x v="1"/>
    <s v="India"/>
    <x v="33"/>
    <x v="0"/>
    <x v="0"/>
    <x v="25"/>
    <x v="0"/>
    <x v="0"/>
    <n v="3"/>
    <n v="7"/>
    <x v="0"/>
  </r>
  <r>
    <n v="131"/>
    <x v="0"/>
    <x v="1"/>
    <x v="0"/>
    <s v="Nepal"/>
    <x v="44"/>
    <x v="2"/>
    <x v="1"/>
    <x v="30"/>
    <x v="3"/>
    <x v="1"/>
    <n v="2"/>
    <n v="5"/>
    <x v="0"/>
  </r>
  <r>
    <n v="132"/>
    <x v="2"/>
    <x v="0"/>
    <x v="0"/>
    <s v="Pakistan"/>
    <x v="17"/>
    <x v="0"/>
    <x v="0"/>
    <x v="20"/>
    <x v="2"/>
    <x v="0"/>
    <n v="4"/>
    <n v="8"/>
    <x v="0"/>
  </r>
  <r>
    <n v="133"/>
    <x v="1"/>
    <x v="1"/>
    <x v="1"/>
    <s v="Sri Lanka"/>
    <x v="11"/>
    <x v="4"/>
    <x v="0"/>
    <x v="10"/>
    <x v="0"/>
    <x v="1"/>
    <n v="3"/>
    <n v="7"/>
    <x v="0"/>
  </r>
  <r>
    <n v="134"/>
    <x v="4"/>
    <x v="0"/>
    <x v="1"/>
    <s v="Maldives"/>
    <x v="15"/>
    <x v="0"/>
    <x v="1"/>
    <x v="12"/>
    <x v="1"/>
    <x v="0"/>
    <n v="2"/>
    <n v="5"/>
    <x v="0"/>
  </r>
  <r>
    <n v="135"/>
    <x v="0"/>
    <x v="1"/>
    <x v="0"/>
    <s v="Bangladesh"/>
    <x v="22"/>
    <x v="2"/>
    <x v="0"/>
    <x v="14"/>
    <x v="2"/>
    <x v="1"/>
    <n v="4"/>
    <n v="8"/>
    <x v="0"/>
  </r>
  <r>
    <n v="136"/>
    <x v="2"/>
    <x v="0"/>
    <x v="0"/>
    <s v="India"/>
    <x v="31"/>
    <x v="0"/>
    <x v="0"/>
    <x v="17"/>
    <x v="0"/>
    <x v="0"/>
    <n v="3"/>
    <n v="7"/>
    <x v="0"/>
  </r>
  <r>
    <n v="137"/>
    <x v="1"/>
    <x v="1"/>
    <x v="1"/>
    <s v="Nepal"/>
    <x v="45"/>
    <x v="4"/>
    <x v="1"/>
    <x v="31"/>
    <x v="3"/>
    <x v="1"/>
    <n v="2"/>
    <n v="5"/>
    <x v="0"/>
  </r>
  <r>
    <n v="138"/>
    <x v="4"/>
    <x v="0"/>
    <x v="1"/>
    <s v="Pakistan"/>
    <x v="10"/>
    <x v="0"/>
    <x v="0"/>
    <x v="11"/>
    <x v="2"/>
    <x v="0"/>
    <n v="4"/>
    <n v="8"/>
    <x v="0"/>
  </r>
  <r>
    <n v="139"/>
    <x v="0"/>
    <x v="1"/>
    <x v="0"/>
    <s v="Sri Lanka"/>
    <x v="20"/>
    <x v="2"/>
    <x v="0"/>
    <x v="22"/>
    <x v="0"/>
    <x v="1"/>
    <n v="3"/>
    <n v="7"/>
    <x v="0"/>
  </r>
  <r>
    <n v="140"/>
    <x v="2"/>
    <x v="0"/>
    <x v="0"/>
    <s v="Maldives"/>
    <x v="8"/>
    <x v="0"/>
    <x v="1"/>
    <x v="6"/>
    <x v="1"/>
    <x v="0"/>
    <n v="2"/>
    <n v="5"/>
    <x v="0"/>
  </r>
  <r>
    <n v="141"/>
    <x v="1"/>
    <x v="1"/>
    <x v="1"/>
    <s v="Bangladesh"/>
    <x v="19"/>
    <x v="4"/>
    <x v="0"/>
    <x v="18"/>
    <x v="2"/>
    <x v="1"/>
    <n v="4"/>
    <n v="8"/>
    <x v="0"/>
  </r>
  <r>
    <n v="142"/>
    <x v="4"/>
    <x v="0"/>
    <x v="1"/>
    <s v="India"/>
    <x v="0"/>
    <x v="0"/>
    <x v="0"/>
    <x v="19"/>
    <x v="0"/>
    <x v="0"/>
    <n v="3"/>
    <n v="7"/>
    <x v="0"/>
  </r>
  <r>
    <n v="143"/>
    <x v="0"/>
    <x v="1"/>
    <x v="0"/>
    <s v="Nepal"/>
    <x v="36"/>
    <x v="2"/>
    <x v="1"/>
    <x v="32"/>
    <x v="3"/>
    <x v="1"/>
    <n v="2"/>
    <n v="5"/>
    <x v="0"/>
  </r>
  <r>
    <n v="144"/>
    <x v="2"/>
    <x v="0"/>
    <x v="0"/>
    <s v="Pakistan"/>
    <x v="38"/>
    <x v="0"/>
    <x v="0"/>
    <x v="3"/>
    <x v="2"/>
    <x v="0"/>
    <n v="4"/>
    <n v="8"/>
    <x v="0"/>
  </r>
  <r>
    <n v="145"/>
    <x v="1"/>
    <x v="1"/>
    <x v="1"/>
    <s v="Sri Lanka"/>
    <x v="43"/>
    <x v="4"/>
    <x v="0"/>
    <x v="23"/>
    <x v="0"/>
    <x v="1"/>
    <n v="3"/>
    <n v="7"/>
    <x v="0"/>
  </r>
  <r>
    <n v="146"/>
    <x v="4"/>
    <x v="0"/>
    <x v="1"/>
    <s v="Maldives"/>
    <x v="26"/>
    <x v="0"/>
    <x v="1"/>
    <x v="33"/>
    <x v="1"/>
    <x v="0"/>
    <n v="2"/>
    <n v="5"/>
    <x v="0"/>
  </r>
  <r>
    <n v="147"/>
    <x v="0"/>
    <x v="1"/>
    <x v="0"/>
    <s v="Bangladesh"/>
    <x v="4"/>
    <x v="2"/>
    <x v="0"/>
    <x v="24"/>
    <x v="2"/>
    <x v="1"/>
    <n v="4"/>
    <n v="8"/>
    <x v="0"/>
  </r>
  <r>
    <n v="148"/>
    <x v="2"/>
    <x v="0"/>
    <x v="0"/>
    <s v="India"/>
    <x v="17"/>
    <x v="0"/>
    <x v="0"/>
    <x v="2"/>
    <x v="0"/>
    <x v="0"/>
    <n v="3"/>
    <n v="7"/>
    <x v="0"/>
  </r>
  <r>
    <n v="149"/>
    <x v="1"/>
    <x v="1"/>
    <x v="1"/>
    <s v="Nepal"/>
    <x v="14"/>
    <x v="4"/>
    <x v="1"/>
    <x v="34"/>
    <x v="3"/>
    <x v="1"/>
    <n v="2"/>
    <n v="5"/>
    <x v="0"/>
  </r>
  <r>
    <n v="150"/>
    <x v="4"/>
    <x v="0"/>
    <x v="1"/>
    <s v="Pakistan"/>
    <x v="27"/>
    <x v="0"/>
    <x v="0"/>
    <x v="9"/>
    <x v="2"/>
    <x v="0"/>
    <n v="4"/>
    <n v="8"/>
    <x v="0"/>
  </r>
  <r>
    <n v="151"/>
    <x v="0"/>
    <x v="1"/>
    <x v="0"/>
    <s v="Sri Lanka"/>
    <x v="22"/>
    <x v="2"/>
    <x v="0"/>
    <x v="35"/>
    <x v="0"/>
    <x v="1"/>
    <n v="3"/>
    <n v="7"/>
    <x v="0"/>
  </r>
  <r>
    <n v="152"/>
    <x v="2"/>
    <x v="0"/>
    <x v="0"/>
    <s v="Maldives"/>
    <x v="30"/>
    <x v="0"/>
    <x v="1"/>
    <x v="36"/>
    <x v="1"/>
    <x v="0"/>
    <n v="2"/>
    <n v="5"/>
    <x v="0"/>
  </r>
  <r>
    <n v="153"/>
    <x v="1"/>
    <x v="1"/>
    <x v="1"/>
    <s v="Bangladesh"/>
    <x v="44"/>
    <x v="4"/>
    <x v="0"/>
    <x v="16"/>
    <x v="2"/>
    <x v="1"/>
    <n v="4"/>
    <n v="8"/>
    <x v="0"/>
  </r>
  <r>
    <n v="154"/>
    <x v="4"/>
    <x v="0"/>
    <x v="1"/>
    <s v="India"/>
    <x v="10"/>
    <x v="0"/>
    <x v="0"/>
    <x v="37"/>
    <x v="0"/>
    <x v="0"/>
    <n v="3"/>
    <n v="7"/>
    <x v="0"/>
  </r>
  <r>
    <n v="155"/>
    <x v="0"/>
    <x v="1"/>
    <x v="0"/>
    <s v="Nepal"/>
    <x v="18"/>
    <x v="2"/>
    <x v="1"/>
    <x v="38"/>
    <x v="3"/>
    <x v="1"/>
    <n v="2"/>
    <n v="5"/>
    <x v="1"/>
  </r>
  <r>
    <n v="156"/>
    <x v="2"/>
    <x v="0"/>
    <x v="0"/>
    <s v="Pakistan"/>
    <x v="15"/>
    <x v="0"/>
    <x v="0"/>
    <x v="21"/>
    <x v="2"/>
    <x v="0"/>
    <n v="4"/>
    <n v="8"/>
    <x v="0"/>
  </r>
  <r>
    <n v="157"/>
    <x v="1"/>
    <x v="1"/>
    <x v="1"/>
    <s v="Sri Lanka"/>
    <x v="19"/>
    <x v="4"/>
    <x v="0"/>
    <x v="39"/>
    <x v="0"/>
    <x v="1"/>
    <n v="3"/>
    <n v="7"/>
    <x v="0"/>
  </r>
  <r>
    <n v="158"/>
    <x v="4"/>
    <x v="0"/>
    <x v="1"/>
    <s v="Maldives"/>
    <x v="46"/>
    <x v="0"/>
    <x v="1"/>
    <x v="40"/>
    <x v="1"/>
    <x v="0"/>
    <n v="2"/>
    <n v="5"/>
    <x v="1"/>
  </r>
  <r>
    <n v="159"/>
    <x v="0"/>
    <x v="1"/>
    <x v="0"/>
    <s v="Bangladesh"/>
    <x v="45"/>
    <x v="2"/>
    <x v="0"/>
    <x v="1"/>
    <x v="2"/>
    <x v="1"/>
    <n v="4"/>
    <n v="8"/>
    <x v="0"/>
  </r>
  <r>
    <n v="160"/>
    <x v="2"/>
    <x v="0"/>
    <x v="0"/>
    <s v="India"/>
    <x v="38"/>
    <x v="0"/>
    <x v="0"/>
    <x v="41"/>
    <x v="0"/>
    <x v="0"/>
    <n v="3"/>
    <n v="7"/>
    <x v="0"/>
  </r>
  <r>
    <n v="161"/>
    <x v="0"/>
    <x v="0"/>
    <x v="0"/>
    <s v="Bangladesh"/>
    <x v="20"/>
    <x v="0"/>
    <x v="0"/>
    <x v="28"/>
    <x v="2"/>
    <x v="1"/>
    <n v="3"/>
    <n v="7"/>
    <x v="0"/>
  </r>
  <r>
    <n v="162"/>
    <x v="4"/>
    <x v="1"/>
    <x v="1"/>
    <s v="India"/>
    <x v="10"/>
    <x v="4"/>
    <x v="1"/>
    <x v="9"/>
    <x v="3"/>
    <x v="0"/>
    <n v="2"/>
    <n v="6"/>
    <x v="0"/>
  </r>
  <r>
    <n v="163"/>
    <x v="2"/>
    <x v="0"/>
    <x v="0"/>
    <s v="Nepal"/>
    <x v="11"/>
    <x v="2"/>
    <x v="0"/>
    <x v="15"/>
    <x v="0"/>
    <x v="1"/>
    <n v="4"/>
    <n v="8"/>
    <x v="0"/>
  </r>
  <r>
    <n v="164"/>
    <x v="1"/>
    <x v="1"/>
    <x v="1"/>
    <s v="Pakistan"/>
    <x v="19"/>
    <x v="0"/>
    <x v="0"/>
    <x v="27"/>
    <x v="2"/>
    <x v="0"/>
    <n v="3"/>
    <n v="7"/>
    <x v="0"/>
  </r>
  <r>
    <n v="165"/>
    <x v="0"/>
    <x v="0"/>
    <x v="0"/>
    <s v="Sri Lanka"/>
    <x v="43"/>
    <x v="4"/>
    <x v="1"/>
    <x v="3"/>
    <x v="3"/>
    <x v="1"/>
    <n v="2"/>
    <n v="5"/>
    <x v="0"/>
  </r>
  <r>
    <n v="166"/>
    <x v="4"/>
    <x v="1"/>
    <x v="1"/>
    <s v="Maldives"/>
    <x v="31"/>
    <x v="2"/>
    <x v="0"/>
    <x v="4"/>
    <x v="0"/>
    <x v="0"/>
    <n v="4"/>
    <n v="8"/>
    <x v="0"/>
  </r>
  <r>
    <n v="167"/>
    <x v="2"/>
    <x v="0"/>
    <x v="0"/>
    <s v="Bangladesh"/>
    <x v="22"/>
    <x v="0"/>
    <x v="0"/>
    <x v="26"/>
    <x v="2"/>
    <x v="1"/>
    <n v="3"/>
    <n v="7"/>
    <x v="0"/>
  </r>
  <r>
    <n v="168"/>
    <x v="1"/>
    <x v="1"/>
    <x v="1"/>
    <s v="India"/>
    <x v="0"/>
    <x v="4"/>
    <x v="1"/>
    <x v="24"/>
    <x v="3"/>
    <x v="0"/>
    <n v="2"/>
    <n v="6"/>
    <x v="0"/>
  </r>
  <r>
    <n v="169"/>
    <x v="0"/>
    <x v="0"/>
    <x v="0"/>
    <s v="Nepal"/>
    <x v="33"/>
    <x v="2"/>
    <x v="0"/>
    <x v="8"/>
    <x v="0"/>
    <x v="1"/>
    <n v="4"/>
    <n v="8"/>
    <x v="0"/>
  </r>
  <r>
    <n v="170"/>
    <x v="4"/>
    <x v="1"/>
    <x v="1"/>
    <s v="Pakistan"/>
    <x v="38"/>
    <x v="0"/>
    <x v="0"/>
    <x v="0"/>
    <x v="2"/>
    <x v="0"/>
    <n v="3"/>
    <n v="7"/>
    <x v="0"/>
  </r>
  <r>
    <n v="171"/>
    <x v="2"/>
    <x v="0"/>
    <x v="0"/>
    <s v="Sri Lanka"/>
    <x v="17"/>
    <x v="4"/>
    <x v="1"/>
    <x v="16"/>
    <x v="3"/>
    <x v="1"/>
    <n v="2"/>
    <n v="5"/>
    <x v="0"/>
  </r>
  <r>
    <n v="172"/>
    <x v="1"/>
    <x v="1"/>
    <x v="1"/>
    <s v="Maldives"/>
    <x v="20"/>
    <x v="2"/>
    <x v="0"/>
    <x v="13"/>
    <x v="0"/>
    <x v="0"/>
    <n v="4"/>
    <n v="8"/>
    <x v="0"/>
  </r>
  <r>
    <n v="173"/>
    <x v="0"/>
    <x v="0"/>
    <x v="0"/>
    <s v="Bangladesh"/>
    <x v="10"/>
    <x v="0"/>
    <x v="0"/>
    <x v="20"/>
    <x v="2"/>
    <x v="1"/>
    <n v="3"/>
    <n v="7"/>
    <x v="0"/>
  </r>
  <r>
    <n v="174"/>
    <x v="4"/>
    <x v="1"/>
    <x v="1"/>
    <s v="India"/>
    <x v="43"/>
    <x v="4"/>
    <x v="1"/>
    <x v="21"/>
    <x v="3"/>
    <x v="0"/>
    <n v="2"/>
    <n v="6"/>
    <x v="0"/>
  </r>
  <r>
    <n v="175"/>
    <x v="2"/>
    <x v="0"/>
    <x v="0"/>
    <s v="Nepal"/>
    <x v="23"/>
    <x v="2"/>
    <x v="0"/>
    <x v="25"/>
    <x v="0"/>
    <x v="1"/>
    <n v="4"/>
    <n v="8"/>
    <x v="0"/>
  </r>
  <r>
    <n v="176"/>
    <x v="1"/>
    <x v="1"/>
    <x v="1"/>
    <s v="Pakistan"/>
    <x v="4"/>
    <x v="0"/>
    <x v="0"/>
    <x v="14"/>
    <x v="2"/>
    <x v="0"/>
    <n v="3"/>
    <n v="7"/>
    <x v="0"/>
  </r>
  <r>
    <n v="177"/>
    <x v="0"/>
    <x v="0"/>
    <x v="0"/>
    <s v="Sri Lanka"/>
    <x v="22"/>
    <x v="4"/>
    <x v="1"/>
    <x v="1"/>
    <x v="3"/>
    <x v="1"/>
    <n v="2"/>
    <n v="5"/>
    <x v="0"/>
  </r>
  <r>
    <n v="178"/>
    <x v="4"/>
    <x v="1"/>
    <x v="1"/>
    <s v="Maldives"/>
    <x v="0"/>
    <x v="2"/>
    <x v="0"/>
    <x v="10"/>
    <x v="0"/>
    <x v="0"/>
    <n v="4"/>
    <n v="8"/>
    <x v="0"/>
  </r>
  <r>
    <n v="179"/>
    <x v="2"/>
    <x v="0"/>
    <x v="0"/>
    <s v="Bangladesh"/>
    <x v="19"/>
    <x v="0"/>
    <x v="0"/>
    <x v="11"/>
    <x v="2"/>
    <x v="1"/>
    <n v="3"/>
    <n v="7"/>
    <x v="0"/>
  </r>
  <r>
    <n v="180"/>
    <x v="1"/>
    <x v="1"/>
    <x v="1"/>
    <s v="India"/>
    <x v="17"/>
    <x v="4"/>
    <x v="1"/>
    <x v="29"/>
    <x v="3"/>
    <x v="0"/>
    <n v="2"/>
    <n v="6"/>
    <x v="0"/>
  </r>
  <r>
    <n v="181"/>
    <x v="0"/>
    <x v="0"/>
    <x v="0"/>
    <s v="Nepal"/>
    <x v="7"/>
    <x v="2"/>
    <x v="0"/>
    <x v="17"/>
    <x v="0"/>
    <x v="1"/>
    <n v="4"/>
    <n v="8"/>
    <x v="0"/>
  </r>
  <r>
    <n v="182"/>
    <x v="4"/>
    <x v="1"/>
    <x v="1"/>
    <s v="Pakistan"/>
    <x v="27"/>
    <x v="0"/>
    <x v="0"/>
    <x v="18"/>
    <x v="2"/>
    <x v="0"/>
    <n v="3"/>
    <n v="7"/>
    <x v="0"/>
  </r>
  <r>
    <n v="183"/>
    <x v="2"/>
    <x v="0"/>
    <x v="0"/>
    <s v="Sri Lanka"/>
    <x v="10"/>
    <x v="4"/>
    <x v="1"/>
    <x v="30"/>
    <x v="3"/>
    <x v="1"/>
    <n v="2"/>
    <n v="5"/>
    <x v="0"/>
  </r>
  <r>
    <n v="184"/>
    <x v="1"/>
    <x v="1"/>
    <x v="1"/>
    <s v="Maldives"/>
    <x v="43"/>
    <x v="2"/>
    <x v="0"/>
    <x v="22"/>
    <x v="0"/>
    <x v="0"/>
    <n v="4"/>
    <n v="8"/>
    <x v="0"/>
  </r>
  <r>
    <n v="185"/>
    <x v="0"/>
    <x v="0"/>
    <x v="0"/>
    <s v="Bangladesh"/>
    <x v="38"/>
    <x v="0"/>
    <x v="0"/>
    <x v="3"/>
    <x v="2"/>
    <x v="1"/>
    <n v="3"/>
    <n v="7"/>
    <x v="0"/>
  </r>
  <r>
    <n v="186"/>
    <x v="4"/>
    <x v="1"/>
    <x v="1"/>
    <s v="India"/>
    <x v="22"/>
    <x v="4"/>
    <x v="1"/>
    <x v="12"/>
    <x v="3"/>
    <x v="0"/>
    <n v="2"/>
    <n v="6"/>
    <x v="0"/>
  </r>
  <r>
    <n v="187"/>
    <x v="2"/>
    <x v="0"/>
    <x v="0"/>
    <s v="Nepal"/>
    <x v="29"/>
    <x v="2"/>
    <x v="0"/>
    <x v="19"/>
    <x v="0"/>
    <x v="1"/>
    <n v="4"/>
    <n v="8"/>
    <x v="0"/>
  </r>
  <r>
    <n v="188"/>
    <x v="1"/>
    <x v="1"/>
    <x v="1"/>
    <s v="Pakistan"/>
    <x v="44"/>
    <x v="0"/>
    <x v="0"/>
    <x v="24"/>
    <x v="2"/>
    <x v="0"/>
    <n v="3"/>
    <n v="7"/>
    <x v="0"/>
  </r>
  <r>
    <n v="189"/>
    <x v="0"/>
    <x v="0"/>
    <x v="0"/>
    <s v="Sri Lanka"/>
    <x v="19"/>
    <x v="4"/>
    <x v="1"/>
    <x v="31"/>
    <x v="3"/>
    <x v="1"/>
    <n v="2"/>
    <n v="5"/>
    <x v="0"/>
  </r>
  <r>
    <n v="190"/>
    <x v="4"/>
    <x v="1"/>
    <x v="1"/>
    <s v="Maldives"/>
    <x v="17"/>
    <x v="2"/>
    <x v="0"/>
    <x v="23"/>
    <x v="0"/>
    <x v="0"/>
    <n v="4"/>
    <n v="8"/>
    <x v="0"/>
  </r>
  <r>
    <n v="191"/>
    <x v="2"/>
    <x v="0"/>
    <x v="0"/>
    <s v="Bangladesh"/>
    <x v="4"/>
    <x v="0"/>
    <x v="0"/>
    <x v="9"/>
    <x v="2"/>
    <x v="1"/>
    <n v="3"/>
    <n v="7"/>
    <x v="0"/>
  </r>
  <r>
    <n v="192"/>
    <x v="1"/>
    <x v="1"/>
    <x v="1"/>
    <s v="India"/>
    <x v="10"/>
    <x v="4"/>
    <x v="1"/>
    <x v="6"/>
    <x v="3"/>
    <x v="0"/>
    <n v="2"/>
    <n v="6"/>
    <x v="0"/>
  </r>
  <r>
    <n v="193"/>
    <x v="0"/>
    <x v="0"/>
    <x v="0"/>
    <s v="Nepal"/>
    <x v="2"/>
    <x v="2"/>
    <x v="0"/>
    <x v="2"/>
    <x v="0"/>
    <x v="1"/>
    <n v="4"/>
    <n v="8"/>
    <x v="0"/>
  </r>
  <r>
    <n v="194"/>
    <x v="4"/>
    <x v="1"/>
    <x v="1"/>
    <s v="Pakistan"/>
    <x v="15"/>
    <x v="0"/>
    <x v="0"/>
    <x v="16"/>
    <x v="2"/>
    <x v="0"/>
    <n v="3"/>
    <n v="7"/>
    <x v="0"/>
  </r>
  <r>
    <n v="195"/>
    <x v="2"/>
    <x v="0"/>
    <x v="0"/>
    <s v="Sri Lanka"/>
    <x v="38"/>
    <x v="4"/>
    <x v="1"/>
    <x v="32"/>
    <x v="3"/>
    <x v="1"/>
    <n v="2"/>
    <n v="5"/>
    <x v="0"/>
  </r>
  <r>
    <n v="196"/>
    <x v="1"/>
    <x v="1"/>
    <x v="1"/>
    <s v="Maldives"/>
    <x v="22"/>
    <x v="2"/>
    <x v="0"/>
    <x v="35"/>
    <x v="0"/>
    <x v="0"/>
    <n v="4"/>
    <n v="8"/>
    <x v="0"/>
  </r>
  <r>
    <n v="197"/>
    <x v="0"/>
    <x v="0"/>
    <x v="0"/>
    <s v="Bangladesh"/>
    <x v="27"/>
    <x v="0"/>
    <x v="0"/>
    <x v="21"/>
    <x v="2"/>
    <x v="1"/>
    <n v="3"/>
    <n v="7"/>
    <x v="0"/>
  </r>
  <r>
    <n v="198"/>
    <x v="4"/>
    <x v="1"/>
    <x v="1"/>
    <s v="India"/>
    <x v="19"/>
    <x v="4"/>
    <x v="1"/>
    <x v="33"/>
    <x v="3"/>
    <x v="0"/>
    <n v="2"/>
    <n v="6"/>
    <x v="0"/>
  </r>
  <r>
    <n v="199"/>
    <x v="2"/>
    <x v="0"/>
    <x v="0"/>
    <s v="Nepal"/>
    <x v="25"/>
    <x v="2"/>
    <x v="0"/>
    <x v="37"/>
    <x v="0"/>
    <x v="1"/>
    <n v="4"/>
    <n v="8"/>
    <x v="0"/>
  </r>
  <r>
    <n v="200"/>
    <x v="1"/>
    <x v="1"/>
    <x v="1"/>
    <s v="Pakistan"/>
    <x v="45"/>
    <x v="0"/>
    <x v="0"/>
    <x v="1"/>
    <x v="2"/>
    <x v="0"/>
    <n v="3"/>
    <n v="7"/>
    <x v="0"/>
  </r>
  <r>
    <n v="201"/>
    <x v="0"/>
    <x v="0"/>
    <x v="0"/>
    <s v="Sri Lanka"/>
    <x v="4"/>
    <x v="4"/>
    <x v="1"/>
    <x v="34"/>
    <x v="3"/>
    <x v="1"/>
    <n v="2"/>
    <n v="5"/>
    <x v="0"/>
  </r>
  <r>
    <n v="202"/>
    <x v="4"/>
    <x v="1"/>
    <x v="1"/>
    <s v="Maldives"/>
    <x v="10"/>
    <x v="2"/>
    <x v="0"/>
    <x v="39"/>
    <x v="0"/>
    <x v="0"/>
    <n v="4"/>
    <n v="8"/>
    <x v="0"/>
  </r>
  <r>
    <n v="203"/>
    <x v="2"/>
    <x v="0"/>
    <x v="0"/>
    <s v="Bangladesh"/>
    <x v="44"/>
    <x v="0"/>
    <x v="0"/>
    <x v="29"/>
    <x v="2"/>
    <x v="1"/>
    <n v="3"/>
    <n v="7"/>
    <x v="0"/>
  </r>
  <r>
    <n v="204"/>
    <x v="1"/>
    <x v="1"/>
    <x v="1"/>
    <s v="India"/>
    <x v="38"/>
    <x v="4"/>
    <x v="1"/>
    <x v="36"/>
    <x v="3"/>
    <x v="0"/>
    <n v="2"/>
    <n v="6"/>
    <x v="0"/>
  </r>
  <r>
    <n v="205"/>
    <x v="0"/>
    <x v="0"/>
    <x v="0"/>
    <s v="Nepal"/>
    <x v="35"/>
    <x v="2"/>
    <x v="0"/>
    <x v="41"/>
    <x v="0"/>
    <x v="1"/>
    <n v="4"/>
    <n v="8"/>
    <x v="0"/>
  </r>
  <r>
    <n v="206"/>
    <x v="4"/>
    <x v="1"/>
    <x v="1"/>
    <s v="Pakistan"/>
    <x v="8"/>
    <x v="0"/>
    <x v="0"/>
    <x v="30"/>
    <x v="2"/>
    <x v="0"/>
    <n v="3"/>
    <n v="7"/>
    <x v="0"/>
  </r>
  <r>
    <n v="207"/>
    <x v="2"/>
    <x v="0"/>
    <x v="0"/>
    <s v="Sri Lanka"/>
    <x v="27"/>
    <x v="4"/>
    <x v="1"/>
    <x v="38"/>
    <x v="3"/>
    <x v="1"/>
    <n v="2"/>
    <n v="5"/>
    <x v="0"/>
  </r>
  <r>
    <n v="208"/>
    <x v="1"/>
    <x v="1"/>
    <x v="1"/>
    <s v="Maldives"/>
    <x v="19"/>
    <x v="2"/>
    <x v="0"/>
    <x v="5"/>
    <x v="0"/>
    <x v="0"/>
    <n v="4"/>
    <n v="8"/>
    <x v="0"/>
  </r>
  <r>
    <n v="209"/>
    <x v="0"/>
    <x v="0"/>
    <x v="0"/>
    <s v="Bangladesh"/>
    <x v="15"/>
    <x v="0"/>
    <x v="0"/>
    <x v="12"/>
    <x v="2"/>
    <x v="1"/>
    <n v="3"/>
    <n v="7"/>
    <x v="0"/>
  </r>
  <r>
    <n v="210"/>
    <x v="4"/>
    <x v="1"/>
    <x v="1"/>
    <s v="India"/>
    <x v="4"/>
    <x v="4"/>
    <x v="1"/>
    <x v="40"/>
    <x v="3"/>
    <x v="0"/>
    <n v="2"/>
    <n v="6"/>
    <x v="0"/>
  </r>
  <r>
    <n v="211"/>
    <x v="2"/>
    <x v="0"/>
    <x v="0"/>
    <s v="Nepal"/>
    <x v="40"/>
    <x v="2"/>
    <x v="0"/>
    <x v="42"/>
    <x v="0"/>
    <x v="1"/>
    <n v="4"/>
    <n v="8"/>
    <x v="0"/>
  </r>
  <r>
    <n v="212"/>
    <x v="1"/>
    <x v="1"/>
    <x v="1"/>
    <s v="Pakistan"/>
    <x v="36"/>
    <x v="0"/>
    <x v="0"/>
    <x v="31"/>
    <x v="2"/>
    <x v="0"/>
    <n v="3"/>
    <n v="7"/>
    <x v="0"/>
  </r>
  <r>
    <n v="213"/>
    <x v="0"/>
    <x v="0"/>
    <x v="0"/>
    <s v="Sri Lanka"/>
    <x v="44"/>
    <x v="4"/>
    <x v="1"/>
    <x v="43"/>
    <x v="3"/>
    <x v="1"/>
    <n v="2"/>
    <n v="5"/>
    <x v="0"/>
  </r>
  <r>
    <n v="214"/>
    <x v="4"/>
    <x v="1"/>
    <x v="1"/>
    <s v="Maldives"/>
    <x v="38"/>
    <x v="2"/>
    <x v="0"/>
    <x v="44"/>
    <x v="0"/>
    <x v="0"/>
    <n v="4"/>
    <n v="8"/>
    <x v="0"/>
  </r>
  <r>
    <n v="215"/>
    <x v="2"/>
    <x v="0"/>
    <x v="0"/>
    <s v="Bangladesh"/>
    <x v="45"/>
    <x v="0"/>
    <x v="0"/>
    <x v="6"/>
    <x v="2"/>
    <x v="1"/>
    <n v="3"/>
    <n v="7"/>
    <x v="0"/>
  </r>
  <r>
    <n v="216"/>
    <x v="1"/>
    <x v="1"/>
    <x v="1"/>
    <s v="India"/>
    <x v="27"/>
    <x v="4"/>
    <x v="1"/>
    <x v="45"/>
    <x v="3"/>
    <x v="0"/>
    <n v="2"/>
    <n v="6"/>
    <x v="0"/>
  </r>
  <r>
    <n v="217"/>
    <x v="0"/>
    <x v="0"/>
    <x v="0"/>
    <s v="Nepal"/>
    <x v="47"/>
    <x v="2"/>
    <x v="0"/>
    <x v="46"/>
    <x v="0"/>
    <x v="1"/>
    <n v="4"/>
    <n v="8"/>
    <x v="0"/>
  </r>
  <r>
    <n v="218"/>
    <x v="4"/>
    <x v="1"/>
    <x v="1"/>
    <s v="Pakistan"/>
    <x v="26"/>
    <x v="0"/>
    <x v="0"/>
    <x v="32"/>
    <x v="2"/>
    <x v="0"/>
    <n v="3"/>
    <n v="7"/>
    <x v="0"/>
  </r>
  <r>
    <n v="219"/>
    <x v="2"/>
    <x v="0"/>
    <x v="0"/>
    <s v="Sri Lanka"/>
    <x v="15"/>
    <x v="4"/>
    <x v="1"/>
    <x v="47"/>
    <x v="3"/>
    <x v="1"/>
    <n v="2"/>
    <n v="5"/>
    <x v="0"/>
  </r>
  <r>
    <n v="220"/>
    <x v="1"/>
    <x v="1"/>
    <x v="1"/>
    <s v="Maldives"/>
    <x v="4"/>
    <x v="2"/>
    <x v="0"/>
    <x v="48"/>
    <x v="0"/>
    <x v="0"/>
    <n v="4"/>
    <n v="8"/>
    <x v="0"/>
  </r>
  <r>
    <n v="221"/>
    <x v="0"/>
    <x v="0"/>
    <x v="0"/>
    <s v="USA"/>
    <x v="13"/>
    <x v="0"/>
    <x v="0"/>
    <x v="4"/>
    <x v="2"/>
    <x v="1"/>
    <n v="4"/>
    <n v="9"/>
    <x v="0"/>
  </r>
  <r>
    <n v="222"/>
    <x v="4"/>
    <x v="1"/>
    <x v="1"/>
    <s v="UK"/>
    <x v="7"/>
    <x v="2"/>
    <x v="0"/>
    <x v="0"/>
    <x v="0"/>
    <x v="0"/>
    <n v="3"/>
    <n v="7"/>
    <x v="0"/>
  </r>
  <r>
    <n v="223"/>
    <x v="2"/>
    <x v="0"/>
    <x v="0"/>
    <s v="Australia"/>
    <x v="4"/>
    <x v="0"/>
    <x v="1"/>
    <x v="1"/>
    <x v="1"/>
    <x v="1"/>
    <n v="2"/>
    <n v="5"/>
    <x v="0"/>
  </r>
  <r>
    <n v="224"/>
    <x v="1"/>
    <x v="1"/>
    <x v="1"/>
    <s v="Germany"/>
    <x v="15"/>
    <x v="4"/>
    <x v="1"/>
    <x v="12"/>
    <x v="3"/>
    <x v="0"/>
    <n v="2"/>
    <n v="4"/>
    <x v="0"/>
  </r>
  <r>
    <n v="225"/>
    <x v="0"/>
    <x v="0"/>
    <x v="0"/>
    <s v="Japan"/>
    <x v="26"/>
    <x v="7"/>
    <x v="1"/>
    <x v="31"/>
    <x v="1"/>
    <x v="1"/>
    <n v="1"/>
    <n v="3"/>
    <x v="0"/>
  </r>
  <r>
    <n v="226"/>
    <x v="4"/>
    <x v="1"/>
    <x v="1"/>
    <s v="Italy"/>
    <x v="11"/>
    <x v="0"/>
    <x v="0"/>
    <x v="11"/>
    <x v="0"/>
    <x v="1"/>
    <n v="3"/>
    <n v="7"/>
    <x v="0"/>
  </r>
  <r>
    <n v="227"/>
    <x v="2"/>
    <x v="0"/>
    <x v="0"/>
    <s v="South Korea"/>
    <x v="0"/>
    <x v="8"/>
    <x v="0"/>
    <x v="0"/>
    <x v="0"/>
    <x v="0"/>
    <n v="3"/>
    <n v="6"/>
    <x v="0"/>
  </r>
  <r>
    <n v="228"/>
    <x v="1"/>
    <x v="1"/>
    <x v="1"/>
    <s v="Russia"/>
    <x v="10"/>
    <x v="9"/>
    <x v="1"/>
    <x v="9"/>
    <x v="3"/>
    <x v="1"/>
    <n v="2"/>
    <n v="5"/>
    <x v="0"/>
  </r>
  <r>
    <n v="229"/>
    <x v="0"/>
    <x v="0"/>
    <x v="0"/>
    <s v="USA"/>
    <x v="48"/>
    <x v="2"/>
    <x v="0"/>
    <x v="8"/>
    <x v="4"/>
    <x v="0"/>
    <n v="4"/>
    <n v="9"/>
    <x v="2"/>
  </r>
  <r>
    <n v="230"/>
    <x v="4"/>
    <x v="1"/>
    <x v="1"/>
    <s v="UK"/>
    <x v="11"/>
    <x v="0"/>
    <x v="0"/>
    <x v="14"/>
    <x v="0"/>
    <x v="1"/>
    <n v="3"/>
    <n v="7"/>
    <x v="0"/>
  </r>
  <r>
    <n v="231"/>
    <x v="2"/>
    <x v="0"/>
    <x v="0"/>
    <s v="Australia"/>
    <x v="19"/>
    <x v="4"/>
    <x v="1"/>
    <x v="21"/>
    <x v="3"/>
    <x v="0"/>
    <n v="2"/>
    <n v="5"/>
    <x v="0"/>
  </r>
  <r>
    <n v="232"/>
    <x v="1"/>
    <x v="1"/>
    <x v="1"/>
    <s v="Germany"/>
    <x v="8"/>
    <x v="0"/>
    <x v="1"/>
    <x v="31"/>
    <x v="1"/>
    <x v="1"/>
    <n v="1"/>
    <n v="4"/>
    <x v="0"/>
  </r>
  <r>
    <n v="233"/>
    <x v="0"/>
    <x v="0"/>
    <x v="0"/>
    <s v="Japan"/>
    <x v="18"/>
    <x v="7"/>
    <x v="1"/>
    <x v="6"/>
    <x v="1"/>
    <x v="1"/>
    <n v="1"/>
    <n v="3"/>
    <x v="1"/>
  </r>
  <r>
    <n v="234"/>
    <x v="4"/>
    <x v="1"/>
    <x v="1"/>
    <s v="Italy"/>
    <x v="23"/>
    <x v="2"/>
    <x v="0"/>
    <x v="0"/>
    <x v="2"/>
    <x v="0"/>
    <n v="3"/>
    <n v="8"/>
    <x v="0"/>
  </r>
  <r>
    <n v="235"/>
    <x v="2"/>
    <x v="0"/>
    <x v="0"/>
    <s v="South Korea"/>
    <x v="17"/>
    <x v="8"/>
    <x v="0"/>
    <x v="11"/>
    <x v="0"/>
    <x v="1"/>
    <n v="3"/>
    <n v="6"/>
    <x v="0"/>
  </r>
  <r>
    <n v="236"/>
    <x v="1"/>
    <x v="1"/>
    <x v="1"/>
    <s v="Russia"/>
    <x v="4"/>
    <x v="9"/>
    <x v="1"/>
    <x v="21"/>
    <x v="3"/>
    <x v="0"/>
    <n v="2"/>
    <n v="5"/>
    <x v="0"/>
  </r>
  <r>
    <n v="237"/>
    <x v="0"/>
    <x v="0"/>
    <x v="0"/>
    <s v="USA"/>
    <x v="49"/>
    <x v="0"/>
    <x v="0"/>
    <x v="15"/>
    <x v="4"/>
    <x v="1"/>
    <n v="4"/>
    <n v="9"/>
    <x v="2"/>
  </r>
  <r>
    <n v="238"/>
    <x v="4"/>
    <x v="1"/>
    <x v="1"/>
    <s v="UK"/>
    <x v="33"/>
    <x v="4"/>
    <x v="0"/>
    <x v="20"/>
    <x v="0"/>
    <x v="0"/>
    <n v="3"/>
    <n v="7"/>
    <x v="0"/>
  </r>
  <r>
    <n v="239"/>
    <x v="2"/>
    <x v="0"/>
    <x v="0"/>
    <s v="Australia"/>
    <x v="38"/>
    <x v="0"/>
    <x v="1"/>
    <x v="16"/>
    <x v="3"/>
    <x v="1"/>
    <n v="2"/>
    <n v="5"/>
    <x v="0"/>
  </r>
  <r>
    <n v="240"/>
    <x v="1"/>
    <x v="1"/>
    <x v="1"/>
    <s v="Germany"/>
    <x v="45"/>
    <x v="4"/>
    <x v="1"/>
    <x v="30"/>
    <x v="1"/>
    <x v="0"/>
    <n v="2"/>
    <n v="4"/>
    <x v="0"/>
  </r>
  <r>
    <n v="241"/>
    <x v="0"/>
    <x v="0"/>
    <x v="0"/>
    <s v="Japan"/>
    <x v="14"/>
    <x v="7"/>
    <x v="1"/>
    <x v="12"/>
    <x v="1"/>
    <x v="1"/>
    <n v="1"/>
    <n v="3"/>
    <x v="0"/>
  </r>
  <r>
    <n v="242"/>
    <x v="4"/>
    <x v="1"/>
    <x v="1"/>
    <s v="Italy"/>
    <x v="31"/>
    <x v="0"/>
    <x v="0"/>
    <x v="14"/>
    <x v="2"/>
    <x v="1"/>
    <n v="3"/>
    <n v="7"/>
    <x v="0"/>
  </r>
  <r>
    <n v="243"/>
    <x v="2"/>
    <x v="0"/>
    <x v="0"/>
    <s v="South Korea"/>
    <x v="43"/>
    <x v="8"/>
    <x v="0"/>
    <x v="20"/>
    <x v="0"/>
    <x v="0"/>
    <n v="3"/>
    <n v="6"/>
    <x v="0"/>
  </r>
  <r>
    <n v="244"/>
    <x v="1"/>
    <x v="1"/>
    <x v="1"/>
    <s v="Russia"/>
    <x v="19"/>
    <x v="9"/>
    <x v="1"/>
    <x v="16"/>
    <x v="3"/>
    <x v="1"/>
    <n v="2"/>
    <n v="5"/>
    <x v="0"/>
  </r>
  <r>
    <n v="245"/>
    <x v="0"/>
    <x v="0"/>
    <x v="0"/>
    <s v="USA"/>
    <x v="50"/>
    <x v="2"/>
    <x v="0"/>
    <x v="13"/>
    <x v="4"/>
    <x v="0"/>
    <n v="4"/>
    <n v="9"/>
    <x v="2"/>
  </r>
  <r>
    <n v="246"/>
    <x v="4"/>
    <x v="1"/>
    <x v="1"/>
    <s v="UK"/>
    <x v="23"/>
    <x v="0"/>
    <x v="0"/>
    <x v="26"/>
    <x v="0"/>
    <x v="1"/>
    <n v="3"/>
    <n v="7"/>
    <x v="0"/>
  </r>
  <r>
    <n v="247"/>
    <x v="2"/>
    <x v="0"/>
    <x v="0"/>
    <s v="Australia"/>
    <x v="10"/>
    <x v="4"/>
    <x v="1"/>
    <x v="9"/>
    <x v="3"/>
    <x v="0"/>
    <n v="2"/>
    <n v="5"/>
    <x v="0"/>
  </r>
  <r>
    <n v="248"/>
    <x v="1"/>
    <x v="1"/>
    <x v="1"/>
    <s v="Germany"/>
    <x v="36"/>
    <x v="0"/>
    <x v="1"/>
    <x v="12"/>
    <x v="1"/>
    <x v="1"/>
    <n v="1"/>
    <n v="4"/>
    <x v="0"/>
  </r>
  <r>
    <n v="249"/>
    <x v="0"/>
    <x v="0"/>
    <x v="0"/>
    <s v="Japan"/>
    <x v="30"/>
    <x v="7"/>
    <x v="1"/>
    <x v="32"/>
    <x v="1"/>
    <x v="1"/>
    <n v="1"/>
    <n v="3"/>
    <x v="0"/>
  </r>
  <r>
    <n v="250"/>
    <x v="4"/>
    <x v="1"/>
    <x v="1"/>
    <s v="Italy"/>
    <x v="33"/>
    <x v="2"/>
    <x v="0"/>
    <x v="20"/>
    <x v="2"/>
    <x v="0"/>
    <n v="3"/>
    <n v="8"/>
    <x v="0"/>
  </r>
  <r>
    <n v="251"/>
    <x v="2"/>
    <x v="0"/>
    <x v="0"/>
    <s v="South Korea"/>
    <x v="22"/>
    <x v="8"/>
    <x v="0"/>
    <x v="18"/>
    <x v="0"/>
    <x v="1"/>
    <n v="3"/>
    <n v="6"/>
    <x v="0"/>
  </r>
  <r>
    <n v="252"/>
    <x v="1"/>
    <x v="1"/>
    <x v="1"/>
    <s v="Russia"/>
    <x v="38"/>
    <x v="9"/>
    <x v="1"/>
    <x v="1"/>
    <x v="3"/>
    <x v="0"/>
    <n v="2"/>
    <n v="5"/>
    <x v="0"/>
  </r>
  <r>
    <n v="253"/>
    <x v="0"/>
    <x v="0"/>
    <x v="0"/>
    <s v="USA"/>
    <x v="51"/>
    <x v="0"/>
    <x v="0"/>
    <x v="8"/>
    <x v="4"/>
    <x v="1"/>
    <n v="4"/>
    <n v="9"/>
    <x v="2"/>
  </r>
  <r>
    <n v="254"/>
    <x v="4"/>
    <x v="1"/>
    <x v="1"/>
    <s v="UK"/>
    <x v="31"/>
    <x v="4"/>
    <x v="0"/>
    <x v="0"/>
    <x v="0"/>
    <x v="0"/>
    <n v="3"/>
    <n v="7"/>
    <x v="0"/>
  </r>
  <r>
    <n v="255"/>
    <x v="2"/>
    <x v="0"/>
    <x v="0"/>
    <s v="Australia"/>
    <x v="27"/>
    <x v="0"/>
    <x v="1"/>
    <x v="21"/>
    <x v="3"/>
    <x v="1"/>
    <n v="2"/>
    <n v="5"/>
    <x v="0"/>
  </r>
  <r>
    <n v="256"/>
    <x v="1"/>
    <x v="1"/>
    <x v="1"/>
    <s v="Germany"/>
    <x v="8"/>
    <x v="4"/>
    <x v="1"/>
    <x v="29"/>
    <x v="1"/>
    <x v="0"/>
    <n v="2"/>
    <n v="4"/>
    <x v="0"/>
  </r>
  <r>
    <n v="257"/>
    <x v="0"/>
    <x v="0"/>
    <x v="0"/>
    <s v="Japan"/>
    <x v="46"/>
    <x v="7"/>
    <x v="1"/>
    <x v="33"/>
    <x v="1"/>
    <x v="1"/>
    <n v="1"/>
    <n v="3"/>
    <x v="1"/>
  </r>
  <r>
    <n v="258"/>
    <x v="4"/>
    <x v="1"/>
    <x v="1"/>
    <s v="Italy"/>
    <x v="20"/>
    <x v="0"/>
    <x v="0"/>
    <x v="11"/>
    <x v="2"/>
    <x v="1"/>
    <n v="3"/>
    <n v="7"/>
    <x v="0"/>
  </r>
  <r>
    <n v="259"/>
    <x v="2"/>
    <x v="0"/>
    <x v="0"/>
    <s v="South Korea"/>
    <x v="17"/>
    <x v="8"/>
    <x v="0"/>
    <x v="14"/>
    <x v="0"/>
    <x v="0"/>
    <n v="3"/>
    <n v="6"/>
    <x v="0"/>
  </r>
  <r>
    <n v="260"/>
    <x v="1"/>
    <x v="1"/>
    <x v="1"/>
    <s v="Russia"/>
    <x v="27"/>
    <x v="9"/>
    <x v="1"/>
    <x v="29"/>
    <x v="3"/>
    <x v="1"/>
    <n v="2"/>
    <n v="5"/>
    <x v="0"/>
  </r>
  <r>
    <n v="261"/>
    <x v="0"/>
    <x v="0"/>
    <x v="0"/>
    <s v="USA"/>
    <x v="52"/>
    <x v="2"/>
    <x v="0"/>
    <x v="25"/>
    <x v="4"/>
    <x v="0"/>
    <n v="4"/>
    <n v="9"/>
    <x v="2"/>
  </r>
  <r>
    <n v="262"/>
    <x v="4"/>
    <x v="1"/>
    <x v="1"/>
    <s v="UK"/>
    <x v="20"/>
    <x v="0"/>
    <x v="0"/>
    <x v="27"/>
    <x v="0"/>
    <x v="1"/>
    <n v="3"/>
    <n v="7"/>
    <x v="0"/>
  </r>
  <r>
    <n v="263"/>
    <x v="2"/>
    <x v="0"/>
    <x v="0"/>
    <s v="Australia"/>
    <x v="44"/>
    <x v="4"/>
    <x v="1"/>
    <x v="1"/>
    <x v="3"/>
    <x v="0"/>
    <n v="2"/>
    <n v="5"/>
    <x v="0"/>
  </r>
  <r>
    <n v="264"/>
    <x v="1"/>
    <x v="1"/>
    <x v="1"/>
    <s v="Germany"/>
    <x v="26"/>
    <x v="0"/>
    <x v="1"/>
    <x v="30"/>
    <x v="1"/>
    <x v="1"/>
    <n v="1"/>
    <n v="4"/>
    <x v="0"/>
  </r>
  <r>
    <n v="265"/>
    <x v="0"/>
    <x v="0"/>
    <x v="0"/>
    <s v="Japan"/>
    <x v="9"/>
    <x v="7"/>
    <x v="1"/>
    <x v="34"/>
    <x v="1"/>
    <x v="1"/>
    <n v="1"/>
    <n v="3"/>
    <x v="1"/>
  </r>
  <r>
    <n v="266"/>
    <x v="4"/>
    <x v="1"/>
    <x v="1"/>
    <s v="Italy"/>
    <x v="0"/>
    <x v="2"/>
    <x v="0"/>
    <x v="18"/>
    <x v="2"/>
    <x v="0"/>
    <n v="3"/>
    <n v="8"/>
    <x v="0"/>
  </r>
  <r>
    <n v="267"/>
    <x v="2"/>
    <x v="0"/>
    <x v="0"/>
    <s v="South Korea"/>
    <x v="10"/>
    <x v="8"/>
    <x v="0"/>
    <x v="3"/>
    <x v="0"/>
    <x v="1"/>
    <n v="3"/>
    <n v="6"/>
    <x v="0"/>
  </r>
  <r>
    <n v="268"/>
    <x v="1"/>
    <x v="1"/>
    <x v="1"/>
    <s v="Russia"/>
    <x v="44"/>
    <x v="9"/>
    <x v="1"/>
    <x v="30"/>
    <x v="3"/>
    <x v="0"/>
    <n v="2"/>
    <n v="5"/>
    <x v="0"/>
  </r>
  <r>
    <n v="269"/>
    <x v="0"/>
    <x v="0"/>
    <x v="0"/>
    <s v="USA"/>
    <x v="47"/>
    <x v="0"/>
    <x v="0"/>
    <x v="13"/>
    <x v="4"/>
    <x v="1"/>
    <n v="4"/>
    <n v="9"/>
    <x v="0"/>
  </r>
  <r>
    <n v="270"/>
    <x v="4"/>
    <x v="1"/>
    <x v="1"/>
    <s v="UK"/>
    <x v="0"/>
    <x v="4"/>
    <x v="0"/>
    <x v="26"/>
    <x v="0"/>
    <x v="0"/>
    <n v="3"/>
    <n v="7"/>
    <x v="0"/>
  </r>
  <r>
    <n v="271"/>
    <x v="2"/>
    <x v="0"/>
    <x v="0"/>
    <s v="Australia"/>
    <x v="4"/>
    <x v="0"/>
    <x v="1"/>
    <x v="16"/>
    <x v="3"/>
    <x v="1"/>
    <n v="2"/>
    <n v="5"/>
    <x v="0"/>
  </r>
  <r>
    <n v="272"/>
    <x v="1"/>
    <x v="1"/>
    <x v="1"/>
    <s v="Germany"/>
    <x v="14"/>
    <x v="4"/>
    <x v="1"/>
    <x v="12"/>
    <x v="1"/>
    <x v="0"/>
    <n v="1"/>
    <n v="4"/>
    <x v="0"/>
  </r>
  <r>
    <n v="273"/>
    <x v="0"/>
    <x v="0"/>
    <x v="0"/>
    <s v="Japan"/>
    <x v="24"/>
    <x v="7"/>
    <x v="1"/>
    <x v="36"/>
    <x v="1"/>
    <x v="1"/>
    <n v="1"/>
    <n v="3"/>
    <x v="1"/>
  </r>
  <r>
    <n v="274"/>
    <x v="4"/>
    <x v="1"/>
    <x v="1"/>
    <s v="Italy"/>
    <x v="31"/>
    <x v="0"/>
    <x v="0"/>
    <x v="14"/>
    <x v="2"/>
    <x v="1"/>
    <n v="3"/>
    <n v="7"/>
    <x v="0"/>
  </r>
  <r>
    <n v="275"/>
    <x v="2"/>
    <x v="0"/>
    <x v="0"/>
    <s v="South Korea"/>
    <x v="19"/>
    <x v="8"/>
    <x v="0"/>
    <x v="24"/>
    <x v="0"/>
    <x v="0"/>
    <n v="3"/>
    <n v="6"/>
    <x v="0"/>
  </r>
  <r>
    <n v="276"/>
    <x v="1"/>
    <x v="1"/>
    <x v="1"/>
    <s v="Russia"/>
    <x v="15"/>
    <x v="9"/>
    <x v="1"/>
    <x v="12"/>
    <x v="3"/>
    <x v="1"/>
    <n v="2"/>
    <n v="5"/>
    <x v="0"/>
  </r>
  <r>
    <n v="277"/>
    <x v="0"/>
    <x v="0"/>
    <x v="0"/>
    <s v="USA"/>
    <x v="52"/>
    <x v="2"/>
    <x v="0"/>
    <x v="10"/>
    <x v="4"/>
    <x v="0"/>
    <n v="4"/>
    <n v="9"/>
    <x v="2"/>
  </r>
  <r>
    <n v="278"/>
    <x v="4"/>
    <x v="1"/>
    <x v="1"/>
    <s v="UK"/>
    <x v="43"/>
    <x v="0"/>
    <x v="0"/>
    <x v="0"/>
    <x v="0"/>
    <x v="1"/>
    <n v="3"/>
    <n v="7"/>
    <x v="0"/>
  </r>
  <r>
    <n v="279"/>
    <x v="2"/>
    <x v="0"/>
    <x v="0"/>
    <s v="Australia"/>
    <x v="27"/>
    <x v="4"/>
    <x v="1"/>
    <x v="21"/>
    <x v="3"/>
    <x v="0"/>
    <n v="2"/>
    <n v="5"/>
    <x v="0"/>
  </r>
  <r>
    <n v="280"/>
    <x v="1"/>
    <x v="1"/>
    <x v="1"/>
    <s v="Germany"/>
    <x v="30"/>
    <x v="0"/>
    <x v="1"/>
    <x v="31"/>
    <x v="1"/>
    <x v="1"/>
    <n v="1"/>
    <n v="4"/>
    <x v="0"/>
  </r>
  <r>
    <n v="281"/>
    <x v="0"/>
    <x v="0"/>
    <x v="0"/>
    <s v="Japan"/>
    <x v="34"/>
    <x v="7"/>
    <x v="1"/>
    <x v="38"/>
    <x v="1"/>
    <x v="1"/>
    <n v="1"/>
    <n v="3"/>
    <x v="1"/>
  </r>
  <r>
    <n v="282"/>
    <x v="4"/>
    <x v="1"/>
    <x v="1"/>
    <s v="Italy"/>
    <x v="20"/>
    <x v="2"/>
    <x v="0"/>
    <x v="11"/>
    <x v="2"/>
    <x v="0"/>
    <n v="3"/>
    <n v="8"/>
    <x v="0"/>
  </r>
  <r>
    <n v="283"/>
    <x v="2"/>
    <x v="0"/>
    <x v="0"/>
    <s v="South Korea"/>
    <x v="38"/>
    <x v="8"/>
    <x v="0"/>
    <x v="9"/>
    <x v="0"/>
    <x v="1"/>
    <n v="3"/>
    <n v="6"/>
    <x v="0"/>
  </r>
  <r>
    <n v="284"/>
    <x v="1"/>
    <x v="1"/>
    <x v="1"/>
    <s v="Russia"/>
    <x v="45"/>
    <x v="9"/>
    <x v="1"/>
    <x v="31"/>
    <x v="3"/>
    <x v="0"/>
    <n v="2"/>
    <n v="5"/>
    <x v="0"/>
  </r>
  <r>
    <n v="285"/>
    <x v="0"/>
    <x v="0"/>
    <x v="0"/>
    <s v="USA"/>
    <x v="51"/>
    <x v="0"/>
    <x v="0"/>
    <x v="17"/>
    <x v="4"/>
    <x v="1"/>
    <n v="4"/>
    <n v="9"/>
    <x v="2"/>
  </r>
  <r>
    <n v="286"/>
    <x v="4"/>
    <x v="1"/>
    <x v="1"/>
    <s v="UK"/>
    <x v="17"/>
    <x v="4"/>
    <x v="0"/>
    <x v="20"/>
    <x v="0"/>
    <x v="0"/>
    <n v="3"/>
    <n v="7"/>
    <x v="0"/>
  </r>
  <r>
    <n v="287"/>
    <x v="2"/>
    <x v="0"/>
    <x v="0"/>
    <s v="Australia"/>
    <x v="44"/>
    <x v="0"/>
    <x v="1"/>
    <x v="1"/>
    <x v="3"/>
    <x v="1"/>
    <n v="2"/>
    <n v="5"/>
    <x v="0"/>
  </r>
  <r>
    <n v="288"/>
    <x v="1"/>
    <x v="1"/>
    <x v="1"/>
    <s v="Germany"/>
    <x v="18"/>
    <x v="4"/>
    <x v="1"/>
    <x v="6"/>
    <x v="1"/>
    <x v="0"/>
    <n v="1"/>
    <n v="4"/>
    <x v="1"/>
  </r>
  <r>
    <n v="289"/>
    <x v="0"/>
    <x v="0"/>
    <x v="0"/>
    <s v="Japan"/>
    <x v="3"/>
    <x v="7"/>
    <x v="1"/>
    <x v="40"/>
    <x v="1"/>
    <x v="1"/>
    <n v="1"/>
    <n v="3"/>
    <x v="1"/>
  </r>
  <r>
    <n v="290"/>
    <x v="4"/>
    <x v="1"/>
    <x v="1"/>
    <s v="Italy"/>
    <x v="0"/>
    <x v="0"/>
    <x v="0"/>
    <x v="18"/>
    <x v="2"/>
    <x v="1"/>
    <n v="3"/>
    <n v="7"/>
    <x v="0"/>
  </r>
  <r>
    <n v="291"/>
    <x v="2"/>
    <x v="0"/>
    <x v="0"/>
    <s v="South Korea"/>
    <x v="4"/>
    <x v="8"/>
    <x v="0"/>
    <x v="16"/>
    <x v="0"/>
    <x v="0"/>
    <n v="3"/>
    <n v="6"/>
    <x v="0"/>
  </r>
  <r>
    <n v="292"/>
    <x v="1"/>
    <x v="1"/>
    <x v="1"/>
    <s v="Russia"/>
    <x v="8"/>
    <x v="9"/>
    <x v="1"/>
    <x v="6"/>
    <x v="3"/>
    <x v="1"/>
    <n v="2"/>
    <n v="5"/>
    <x v="0"/>
  </r>
  <r>
    <n v="293"/>
    <x v="0"/>
    <x v="0"/>
    <x v="0"/>
    <s v="USA"/>
    <x v="49"/>
    <x v="2"/>
    <x v="0"/>
    <x v="22"/>
    <x v="4"/>
    <x v="0"/>
    <n v="4"/>
    <n v="9"/>
    <x v="2"/>
  </r>
  <r>
    <n v="294"/>
    <x v="4"/>
    <x v="1"/>
    <x v="1"/>
    <s v="UK"/>
    <x v="22"/>
    <x v="0"/>
    <x v="0"/>
    <x v="14"/>
    <x v="0"/>
    <x v="1"/>
    <n v="3"/>
    <n v="7"/>
    <x v="0"/>
  </r>
  <r>
    <n v="295"/>
    <x v="2"/>
    <x v="0"/>
    <x v="0"/>
    <s v="Australia"/>
    <x v="15"/>
    <x v="4"/>
    <x v="1"/>
    <x v="29"/>
    <x v="3"/>
    <x v="0"/>
    <n v="2"/>
    <n v="5"/>
    <x v="0"/>
  </r>
  <r>
    <n v="296"/>
    <x v="1"/>
    <x v="1"/>
    <x v="1"/>
    <s v="Germany"/>
    <x v="46"/>
    <x v="0"/>
    <x v="1"/>
    <x v="32"/>
    <x v="1"/>
    <x v="1"/>
    <n v="1"/>
    <n v="4"/>
    <x v="1"/>
  </r>
  <r>
    <n v="297"/>
    <x v="0"/>
    <x v="0"/>
    <x v="0"/>
    <s v="Japan"/>
    <x v="42"/>
    <x v="7"/>
    <x v="1"/>
    <x v="43"/>
    <x v="1"/>
    <x v="1"/>
    <n v="1"/>
    <n v="3"/>
    <x v="1"/>
  </r>
  <r>
    <n v="298"/>
    <x v="4"/>
    <x v="1"/>
    <x v="1"/>
    <s v="Italy"/>
    <x v="43"/>
    <x v="2"/>
    <x v="0"/>
    <x v="3"/>
    <x v="2"/>
    <x v="0"/>
    <n v="3"/>
    <n v="8"/>
    <x v="0"/>
  </r>
  <r>
    <n v="299"/>
    <x v="2"/>
    <x v="0"/>
    <x v="0"/>
    <s v="South Korea"/>
    <x v="27"/>
    <x v="8"/>
    <x v="0"/>
    <x v="21"/>
    <x v="0"/>
    <x v="1"/>
    <n v="3"/>
    <n v="6"/>
    <x v="0"/>
  </r>
  <r>
    <n v="300"/>
    <x v="1"/>
    <x v="1"/>
    <x v="1"/>
    <s v="Russia"/>
    <x v="36"/>
    <x v="9"/>
    <x v="1"/>
    <x v="32"/>
    <x v="3"/>
    <x v="0"/>
    <n v="2"/>
    <n v="5"/>
    <x v="0"/>
  </r>
  <r>
    <n v="301"/>
    <x v="0"/>
    <x v="0"/>
    <x v="0"/>
    <s v="USA"/>
    <x v="50"/>
    <x v="0"/>
    <x v="0"/>
    <x v="19"/>
    <x v="4"/>
    <x v="1"/>
    <n v="4"/>
    <n v="9"/>
    <x v="2"/>
  </r>
  <r>
    <n v="302"/>
    <x v="4"/>
    <x v="1"/>
    <x v="1"/>
    <s v="UK"/>
    <x v="10"/>
    <x v="4"/>
    <x v="0"/>
    <x v="11"/>
    <x v="0"/>
    <x v="0"/>
    <n v="3"/>
    <n v="7"/>
    <x v="0"/>
  </r>
  <r>
    <n v="303"/>
    <x v="2"/>
    <x v="0"/>
    <x v="0"/>
    <s v="Australia"/>
    <x v="45"/>
    <x v="0"/>
    <x v="1"/>
    <x v="30"/>
    <x v="3"/>
    <x v="1"/>
    <n v="2"/>
    <n v="5"/>
    <x v="0"/>
  </r>
  <r>
    <n v="304"/>
    <x v="1"/>
    <x v="1"/>
    <x v="1"/>
    <s v="Germany"/>
    <x v="9"/>
    <x v="4"/>
    <x v="1"/>
    <x v="33"/>
    <x v="1"/>
    <x v="0"/>
    <n v="1"/>
    <n v="4"/>
    <x v="1"/>
  </r>
  <r>
    <n v="305"/>
    <x v="0"/>
    <x v="0"/>
    <x v="0"/>
    <s v="Japan"/>
    <x v="12"/>
    <x v="7"/>
    <x v="1"/>
    <x v="45"/>
    <x v="1"/>
    <x v="1"/>
    <n v="1"/>
    <n v="3"/>
    <x v="1"/>
  </r>
  <r>
    <n v="306"/>
    <x v="4"/>
    <x v="1"/>
    <x v="1"/>
    <s v="Italy"/>
    <x v="17"/>
    <x v="0"/>
    <x v="0"/>
    <x v="24"/>
    <x v="2"/>
    <x v="1"/>
    <n v="3"/>
    <n v="7"/>
    <x v="0"/>
  </r>
  <r>
    <n v="307"/>
    <x v="2"/>
    <x v="0"/>
    <x v="0"/>
    <s v="South Korea"/>
    <x v="44"/>
    <x v="8"/>
    <x v="0"/>
    <x v="1"/>
    <x v="0"/>
    <x v="0"/>
    <n v="3"/>
    <n v="6"/>
    <x v="0"/>
  </r>
  <r>
    <n v="308"/>
    <x v="1"/>
    <x v="1"/>
    <x v="1"/>
    <s v="Russia"/>
    <x v="26"/>
    <x v="9"/>
    <x v="1"/>
    <x v="33"/>
    <x v="3"/>
    <x v="1"/>
    <n v="2"/>
    <n v="5"/>
    <x v="0"/>
  </r>
  <r>
    <n v="309"/>
    <x v="0"/>
    <x v="0"/>
    <x v="0"/>
    <s v="USA"/>
    <x v="48"/>
    <x v="2"/>
    <x v="0"/>
    <x v="23"/>
    <x v="4"/>
    <x v="0"/>
    <n v="4"/>
    <n v="9"/>
    <x v="2"/>
  </r>
  <r>
    <n v="310"/>
    <x v="4"/>
    <x v="1"/>
    <x v="1"/>
    <s v="UK"/>
    <x v="19"/>
    <x v="0"/>
    <x v="0"/>
    <x v="18"/>
    <x v="0"/>
    <x v="1"/>
    <n v="3"/>
    <n v="7"/>
    <x v="0"/>
  </r>
  <r>
    <n v="311"/>
    <x v="2"/>
    <x v="0"/>
    <x v="0"/>
    <s v="Australia"/>
    <x v="8"/>
    <x v="4"/>
    <x v="1"/>
    <x v="12"/>
    <x v="3"/>
    <x v="0"/>
    <n v="2"/>
    <n v="5"/>
    <x v="0"/>
  </r>
  <r>
    <n v="312"/>
    <x v="1"/>
    <x v="1"/>
    <x v="1"/>
    <s v="Germany"/>
    <x v="24"/>
    <x v="0"/>
    <x v="1"/>
    <x v="34"/>
    <x v="1"/>
    <x v="1"/>
    <n v="1"/>
    <n v="4"/>
    <x v="1"/>
  </r>
  <r>
    <n v="313"/>
    <x v="0"/>
    <x v="0"/>
    <x v="0"/>
    <s v="Japan"/>
    <x v="39"/>
    <x v="7"/>
    <x v="1"/>
    <x v="47"/>
    <x v="1"/>
    <x v="1"/>
    <n v="1"/>
    <n v="3"/>
    <x v="1"/>
  </r>
  <r>
    <n v="314"/>
    <x v="4"/>
    <x v="1"/>
    <x v="1"/>
    <s v="Italy"/>
    <x v="22"/>
    <x v="2"/>
    <x v="0"/>
    <x v="9"/>
    <x v="2"/>
    <x v="0"/>
    <n v="3"/>
    <n v="8"/>
    <x v="0"/>
  </r>
  <r>
    <n v="315"/>
    <x v="2"/>
    <x v="0"/>
    <x v="0"/>
    <s v="South Korea"/>
    <x v="15"/>
    <x v="8"/>
    <x v="0"/>
    <x v="29"/>
    <x v="0"/>
    <x v="1"/>
    <n v="3"/>
    <n v="6"/>
    <x v="0"/>
  </r>
  <r>
    <n v="316"/>
    <x v="1"/>
    <x v="1"/>
    <x v="1"/>
    <s v="Russia"/>
    <x v="14"/>
    <x v="9"/>
    <x v="1"/>
    <x v="34"/>
    <x v="3"/>
    <x v="0"/>
    <n v="2"/>
    <n v="5"/>
    <x v="0"/>
  </r>
  <r>
    <n v="317"/>
    <x v="0"/>
    <x v="0"/>
    <x v="0"/>
    <s v="USA"/>
    <x v="53"/>
    <x v="0"/>
    <x v="0"/>
    <x v="2"/>
    <x v="4"/>
    <x v="1"/>
    <n v="4"/>
    <n v="9"/>
    <x v="2"/>
  </r>
  <r>
    <n v="318"/>
    <x v="4"/>
    <x v="1"/>
    <x v="1"/>
    <s v="UK"/>
    <x v="38"/>
    <x v="4"/>
    <x v="0"/>
    <x v="3"/>
    <x v="0"/>
    <x v="0"/>
    <n v="3"/>
    <n v="7"/>
    <x v="0"/>
  </r>
  <r>
    <n v="319"/>
    <x v="2"/>
    <x v="0"/>
    <x v="0"/>
    <s v="Australia"/>
    <x v="36"/>
    <x v="0"/>
    <x v="1"/>
    <x v="31"/>
    <x v="3"/>
    <x v="1"/>
    <n v="2"/>
    <n v="5"/>
    <x v="0"/>
  </r>
  <r>
    <n v="320"/>
    <x v="1"/>
    <x v="1"/>
    <x v="1"/>
    <s v="Germany"/>
    <x v="34"/>
    <x v="4"/>
    <x v="1"/>
    <x v="36"/>
    <x v="1"/>
    <x v="0"/>
    <n v="1"/>
    <n v="4"/>
    <x v="1"/>
  </r>
  <r>
    <n v="321"/>
    <x v="0"/>
    <x v="0"/>
    <x v="0"/>
    <s v="Spain"/>
    <x v="0"/>
    <x v="0"/>
    <x v="0"/>
    <x v="11"/>
    <x v="0"/>
    <x v="1"/>
    <n v="3"/>
    <n v="7"/>
    <x v="0"/>
  </r>
  <r>
    <n v="322"/>
    <x v="4"/>
    <x v="1"/>
    <x v="1"/>
    <s v="Denmark"/>
    <x v="45"/>
    <x v="4"/>
    <x v="1"/>
    <x v="12"/>
    <x v="1"/>
    <x v="0"/>
    <n v="2"/>
    <n v="4"/>
    <x v="0"/>
  </r>
  <r>
    <n v="323"/>
    <x v="2"/>
    <x v="0"/>
    <x v="0"/>
    <s v="Ireland"/>
    <x v="17"/>
    <x v="0"/>
    <x v="0"/>
    <x v="3"/>
    <x v="3"/>
    <x v="1"/>
    <n v="3"/>
    <n v="6"/>
    <x v="0"/>
  </r>
  <r>
    <n v="324"/>
    <x v="1"/>
    <x v="1"/>
    <x v="1"/>
    <s v="India"/>
    <x v="7"/>
    <x v="10"/>
    <x v="0"/>
    <x v="0"/>
    <x v="2"/>
    <x v="0"/>
    <n v="4"/>
    <n v="8"/>
    <x v="0"/>
  </r>
  <r>
    <n v="325"/>
    <x v="0"/>
    <x v="0"/>
    <x v="0"/>
    <s v="Switzerland"/>
    <x v="8"/>
    <x v="0"/>
    <x v="1"/>
    <x v="31"/>
    <x v="1"/>
    <x v="1"/>
    <n v="2"/>
    <n v="4"/>
    <x v="0"/>
  </r>
  <r>
    <n v="326"/>
    <x v="4"/>
    <x v="1"/>
    <x v="1"/>
    <s v="Turkey"/>
    <x v="11"/>
    <x v="0"/>
    <x v="0"/>
    <x v="14"/>
    <x v="0"/>
    <x v="1"/>
    <n v="3"/>
    <n v="7"/>
    <x v="0"/>
  </r>
  <r>
    <n v="327"/>
    <x v="2"/>
    <x v="0"/>
    <x v="0"/>
    <s v="USA"/>
    <x v="49"/>
    <x v="2"/>
    <x v="0"/>
    <x v="10"/>
    <x v="2"/>
    <x v="0"/>
    <n v="4"/>
    <n v="9"/>
    <x v="2"/>
  </r>
  <r>
    <n v="328"/>
    <x v="1"/>
    <x v="1"/>
    <x v="1"/>
    <s v="Mexico"/>
    <x v="33"/>
    <x v="10"/>
    <x v="0"/>
    <x v="20"/>
    <x v="0"/>
    <x v="1"/>
    <n v="3"/>
    <n v="7"/>
    <x v="0"/>
  </r>
  <r>
    <n v="329"/>
    <x v="0"/>
    <x v="0"/>
    <x v="0"/>
    <s v="France"/>
    <x v="4"/>
    <x v="0"/>
    <x v="1"/>
    <x v="1"/>
    <x v="3"/>
    <x v="0"/>
    <n v="2"/>
    <n v="5"/>
    <x v="0"/>
  </r>
  <r>
    <n v="330"/>
    <x v="4"/>
    <x v="1"/>
    <x v="1"/>
    <s v="Canada"/>
    <x v="20"/>
    <x v="0"/>
    <x v="0"/>
    <x v="18"/>
    <x v="0"/>
    <x v="1"/>
    <n v="3"/>
    <n v="7"/>
    <x v="0"/>
  </r>
  <r>
    <n v="331"/>
    <x v="2"/>
    <x v="0"/>
    <x v="0"/>
    <s v="Spain"/>
    <x v="43"/>
    <x v="2"/>
    <x v="0"/>
    <x v="14"/>
    <x v="0"/>
    <x v="1"/>
    <n v="3"/>
    <n v="7"/>
    <x v="0"/>
  </r>
  <r>
    <n v="332"/>
    <x v="1"/>
    <x v="1"/>
    <x v="1"/>
    <s v="Denmark"/>
    <x v="36"/>
    <x v="4"/>
    <x v="1"/>
    <x v="31"/>
    <x v="1"/>
    <x v="0"/>
    <n v="2"/>
    <n v="4"/>
    <x v="0"/>
  </r>
  <r>
    <n v="333"/>
    <x v="0"/>
    <x v="0"/>
    <x v="0"/>
    <s v="Ireland"/>
    <x v="10"/>
    <x v="0"/>
    <x v="0"/>
    <x v="24"/>
    <x v="3"/>
    <x v="1"/>
    <n v="3"/>
    <n v="6"/>
    <x v="0"/>
  </r>
  <r>
    <n v="334"/>
    <x v="4"/>
    <x v="1"/>
    <x v="1"/>
    <s v="India"/>
    <x v="29"/>
    <x v="10"/>
    <x v="0"/>
    <x v="26"/>
    <x v="2"/>
    <x v="0"/>
    <n v="4"/>
    <n v="8"/>
    <x v="0"/>
  </r>
  <r>
    <n v="335"/>
    <x v="2"/>
    <x v="0"/>
    <x v="0"/>
    <s v="Switzerland"/>
    <x v="26"/>
    <x v="0"/>
    <x v="1"/>
    <x v="6"/>
    <x v="1"/>
    <x v="1"/>
    <n v="2"/>
    <n v="4"/>
    <x v="0"/>
  </r>
  <r>
    <n v="336"/>
    <x v="1"/>
    <x v="1"/>
    <x v="1"/>
    <s v="Turkey"/>
    <x v="31"/>
    <x v="2"/>
    <x v="0"/>
    <x v="11"/>
    <x v="0"/>
    <x v="1"/>
    <n v="3"/>
    <n v="7"/>
    <x v="0"/>
  </r>
  <r>
    <n v="337"/>
    <x v="0"/>
    <x v="0"/>
    <x v="0"/>
    <s v="USA"/>
    <x v="50"/>
    <x v="0"/>
    <x v="0"/>
    <x v="17"/>
    <x v="2"/>
    <x v="0"/>
    <n v="4"/>
    <n v="9"/>
    <x v="2"/>
  </r>
  <r>
    <n v="338"/>
    <x v="4"/>
    <x v="1"/>
    <x v="1"/>
    <s v="Mexico"/>
    <x v="23"/>
    <x v="10"/>
    <x v="0"/>
    <x v="0"/>
    <x v="0"/>
    <x v="1"/>
    <n v="3"/>
    <n v="7"/>
    <x v="0"/>
  </r>
  <r>
    <n v="339"/>
    <x v="2"/>
    <x v="0"/>
    <x v="0"/>
    <s v="France"/>
    <x v="27"/>
    <x v="0"/>
    <x v="1"/>
    <x v="29"/>
    <x v="3"/>
    <x v="0"/>
    <n v="2"/>
    <n v="5"/>
    <x v="0"/>
  </r>
  <r>
    <n v="340"/>
    <x v="1"/>
    <x v="1"/>
    <x v="1"/>
    <s v="Canada"/>
    <x v="0"/>
    <x v="2"/>
    <x v="0"/>
    <x v="3"/>
    <x v="0"/>
    <x v="1"/>
    <n v="3"/>
    <n v="7"/>
    <x v="0"/>
  </r>
  <r>
    <n v="341"/>
    <x v="0"/>
    <x v="0"/>
    <x v="0"/>
    <s v="Spain"/>
    <x v="17"/>
    <x v="0"/>
    <x v="0"/>
    <x v="18"/>
    <x v="0"/>
    <x v="1"/>
    <n v="3"/>
    <n v="7"/>
    <x v="0"/>
  </r>
  <r>
    <n v="342"/>
    <x v="4"/>
    <x v="1"/>
    <x v="1"/>
    <s v="Denmark"/>
    <x v="26"/>
    <x v="4"/>
    <x v="1"/>
    <x v="6"/>
    <x v="1"/>
    <x v="0"/>
    <n v="2"/>
    <n v="4"/>
    <x v="0"/>
  </r>
  <r>
    <n v="343"/>
    <x v="2"/>
    <x v="0"/>
    <x v="0"/>
    <s v="Ireland"/>
    <x v="19"/>
    <x v="2"/>
    <x v="0"/>
    <x v="9"/>
    <x v="3"/>
    <x v="1"/>
    <n v="3"/>
    <n v="6"/>
    <x v="0"/>
  </r>
  <r>
    <n v="344"/>
    <x v="1"/>
    <x v="1"/>
    <x v="1"/>
    <s v="India"/>
    <x v="2"/>
    <x v="10"/>
    <x v="0"/>
    <x v="27"/>
    <x v="2"/>
    <x v="0"/>
    <n v="4"/>
    <n v="8"/>
    <x v="0"/>
  </r>
  <r>
    <n v="345"/>
    <x v="0"/>
    <x v="0"/>
    <x v="0"/>
    <s v="Switzerland"/>
    <x v="14"/>
    <x v="0"/>
    <x v="1"/>
    <x v="32"/>
    <x v="1"/>
    <x v="1"/>
    <n v="2"/>
    <n v="4"/>
    <x v="0"/>
  </r>
  <r>
    <n v="346"/>
    <x v="4"/>
    <x v="1"/>
    <x v="1"/>
    <s v="Turkey"/>
    <x v="20"/>
    <x v="0"/>
    <x v="0"/>
    <x v="18"/>
    <x v="0"/>
    <x v="1"/>
    <n v="3"/>
    <n v="7"/>
    <x v="0"/>
  </r>
  <r>
    <n v="347"/>
    <x v="2"/>
    <x v="0"/>
    <x v="0"/>
    <s v="USA"/>
    <x v="48"/>
    <x v="2"/>
    <x v="0"/>
    <x v="22"/>
    <x v="2"/>
    <x v="0"/>
    <n v="4"/>
    <n v="9"/>
    <x v="2"/>
  </r>
  <r>
    <n v="348"/>
    <x v="1"/>
    <x v="1"/>
    <x v="1"/>
    <s v="Mexico"/>
    <x v="7"/>
    <x v="10"/>
    <x v="0"/>
    <x v="26"/>
    <x v="0"/>
    <x v="1"/>
    <n v="3"/>
    <n v="7"/>
    <x v="0"/>
  </r>
  <r>
    <n v="349"/>
    <x v="0"/>
    <x v="0"/>
    <x v="0"/>
    <s v="France"/>
    <x v="44"/>
    <x v="0"/>
    <x v="1"/>
    <x v="30"/>
    <x v="3"/>
    <x v="0"/>
    <n v="2"/>
    <n v="5"/>
    <x v="0"/>
  </r>
  <r>
    <n v="350"/>
    <x v="4"/>
    <x v="1"/>
    <x v="1"/>
    <s v="Canada"/>
    <x v="43"/>
    <x v="0"/>
    <x v="0"/>
    <x v="24"/>
    <x v="0"/>
    <x v="1"/>
    <n v="3"/>
    <n v="7"/>
    <x v="0"/>
  </r>
  <r>
    <n v="351"/>
    <x v="2"/>
    <x v="0"/>
    <x v="0"/>
    <s v="Spain"/>
    <x v="22"/>
    <x v="2"/>
    <x v="0"/>
    <x v="3"/>
    <x v="0"/>
    <x v="1"/>
    <n v="3"/>
    <n v="7"/>
    <x v="0"/>
  </r>
  <r>
    <n v="352"/>
    <x v="1"/>
    <x v="1"/>
    <x v="1"/>
    <s v="Denmark"/>
    <x v="14"/>
    <x v="4"/>
    <x v="1"/>
    <x v="32"/>
    <x v="1"/>
    <x v="0"/>
    <n v="2"/>
    <n v="4"/>
    <x v="0"/>
  </r>
  <r>
    <n v="353"/>
    <x v="0"/>
    <x v="0"/>
    <x v="0"/>
    <s v="Ireland"/>
    <x v="38"/>
    <x v="0"/>
    <x v="0"/>
    <x v="16"/>
    <x v="3"/>
    <x v="1"/>
    <n v="3"/>
    <n v="6"/>
    <x v="0"/>
  </r>
  <r>
    <n v="354"/>
    <x v="4"/>
    <x v="1"/>
    <x v="1"/>
    <s v="India"/>
    <x v="25"/>
    <x v="10"/>
    <x v="0"/>
    <x v="7"/>
    <x v="2"/>
    <x v="0"/>
    <n v="4"/>
    <n v="8"/>
    <x v="0"/>
  </r>
  <r>
    <n v="355"/>
    <x v="2"/>
    <x v="0"/>
    <x v="0"/>
    <s v="Switzerland"/>
    <x v="30"/>
    <x v="0"/>
    <x v="1"/>
    <x v="33"/>
    <x v="1"/>
    <x v="1"/>
    <n v="2"/>
    <n v="4"/>
    <x v="0"/>
  </r>
  <r>
    <n v="356"/>
    <x v="1"/>
    <x v="1"/>
    <x v="1"/>
    <s v="Turkey"/>
    <x v="0"/>
    <x v="2"/>
    <x v="0"/>
    <x v="3"/>
    <x v="0"/>
    <x v="1"/>
    <n v="3"/>
    <n v="7"/>
    <x v="0"/>
  </r>
  <r>
    <n v="357"/>
    <x v="0"/>
    <x v="0"/>
    <x v="0"/>
    <s v="USA"/>
    <x v="53"/>
    <x v="0"/>
    <x v="0"/>
    <x v="19"/>
    <x v="2"/>
    <x v="0"/>
    <n v="4"/>
    <n v="9"/>
    <x v="2"/>
  </r>
  <r>
    <n v="358"/>
    <x v="4"/>
    <x v="1"/>
    <x v="1"/>
    <s v="Mexico"/>
    <x v="29"/>
    <x v="10"/>
    <x v="0"/>
    <x v="27"/>
    <x v="0"/>
    <x v="1"/>
    <n v="3"/>
    <n v="7"/>
    <x v="0"/>
  </r>
  <r>
    <n v="359"/>
    <x v="2"/>
    <x v="0"/>
    <x v="0"/>
    <s v="France"/>
    <x v="15"/>
    <x v="0"/>
    <x v="1"/>
    <x v="12"/>
    <x v="3"/>
    <x v="0"/>
    <n v="2"/>
    <n v="5"/>
    <x v="0"/>
  </r>
  <r>
    <n v="360"/>
    <x v="1"/>
    <x v="1"/>
    <x v="1"/>
    <s v="Canada"/>
    <x v="17"/>
    <x v="2"/>
    <x v="0"/>
    <x v="9"/>
    <x v="0"/>
    <x v="1"/>
    <n v="3"/>
    <n v="7"/>
    <x v="0"/>
  </r>
  <r>
    <n v="361"/>
    <x v="0"/>
    <x v="0"/>
    <x v="0"/>
    <s v="Spain"/>
    <x v="10"/>
    <x v="0"/>
    <x v="0"/>
    <x v="24"/>
    <x v="0"/>
    <x v="1"/>
    <n v="3"/>
    <n v="7"/>
    <x v="0"/>
  </r>
  <r>
    <n v="362"/>
    <x v="4"/>
    <x v="1"/>
    <x v="1"/>
    <s v="Denmark"/>
    <x v="30"/>
    <x v="4"/>
    <x v="1"/>
    <x v="33"/>
    <x v="1"/>
    <x v="0"/>
    <n v="2"/>
    <n v="4"/>
    <x v="0"/>
  </r>
  <r>
    <n v="363"/>
    <x v="2"/>
    <x v="0"/>
    <x v="0"/>
    <s v="Ireland"/>
    <x v="4"/>
    <x v="2"/>
    <x v="0"/>
    <x v="21"/>
    <x v="3"/>
    <x v="1"/>
    <n v="3"/>
    <n v="6"/>
    <x v="0"/>
  </r>
  <r>
    <n v="364"/>
    <x v="1"/>
    <x v="1"/>
    <x v="1"/>
    <s v="India"/>
    <x v="35"/>
    <x v="10"/>
    <x v="0"/>
    <x v="28"/>
    <x v="2"/>
    <x v="0"/>
    <n v="4"/>
    <n v="8"/>
    <x v="0"/>
  </r>
  <r>
    <n v="365"/>
    <x v="0"/>
    <x v="0"/>
    <x v="0"/>
    <s v="Switzerland"/>
    <x v="18"/>
    <x v="0"/>
    <x v="1"/>
    <x v="34"/>
    <x v="1"/>
    <x v="1"/>
    <n v="2"/>
    <n v="4"/>
    <x v="1"/>
  </r>
  <r>
    <n v="366"/>
    <x v="4"/>
    <x v="1"/>
    <x v="1"/>
    <s v="Turkey"/>
    <x v="43"/>
    <x v="0"/>
    <x v="0"/>
    <x v="24"/>
    <x v="0"/>
    <x v="1"/>
    <n v="3"/>
    <n v="7"/>
    <x v="0"/>
  </r>
  <r>
    <n v="367"/>
    <x v="2"/>
    <x v="0"/>
    <x v="0"/>
    <s v="USA"/>
    <x v="5"/>
    <x v="2"/>
    <x v="0"/>
    <x v="23"/>
    <x v="2"/>
    <x v="0"/>
    <n v="4"/>
    <n v="9"/>
    <x v="2"/>
  </r>
  <r>
    <n v="368"/>
    <x v="1"/>
    <x v="1"/>
    <x v="1"/>
    <s v="Mexico"/>
    <x v="2"/>
    <x v="10"/>
    <x v="0"/>
    <x v="7"/>
    <x v="0"/>
    <x v="1"/>
    <n v="3"/>
    <n v="7"/>
    <x v="0"/>
  </r>
  <r>
    <n v="369"/>
    <x v="0"/>
    <x v="0"/>
    <x v="0"/>
    <s v="France"/>
    <x v="45"/>
    <x v="0"/>
    <x v="1"/>
    <x v="31"/>
    <x v="3"/>
    <x v="0"/>
    <n v="2"/>
    <n v="5"/>
    <x v="0"/>
  </r>
  <r>
    <n v="370"/>
    <x v="4"/>
    <x v="1"/>
    <x v="1"/>
    <s v="Canada"/>
    <x v="22"/>
    <x v="0"/>
    <x v="0"/>
    <x v="16"/>
    <x v="0"/>
    <x v="1"/>
    <n v="3"/>
    <n v="7"/>
    <x v="0"/>
  </r>
  <r>
    <n v="371"/>
    <x v="2"/>
    <x v="0"/>
    <x v="0"/>
    <s v="Spain"/>
    <x v="19"/>
    <x v="2"/>
    <x v="0"/>
    <x v="9"/>
    <x v="0"/>
    <x v="1"/>
    <n v="3"/>
    <n v="7"/>
    <x v="0"/>
  </r>
  <r>
    <n v="372"/>
    <x v="1"/>
    <x v="1"/>
    <x v="1"/>
    <s v="Denmark"/>
    <x v="18"/>
    <x v="4"/>
    <x v="1"/>
    <x v="34"/>
    <x v="1"/>
    <x v="0"/>
    <n v="2"/>
    <n v="4"/>
    <x v="1"/>
  </r>
  <r>
    <n v="373"/>
    <x v="0"/>
    <x v="0"/>
    <x v="0"/>
    <s v="Ireland"/>
    <x v="27"/>
    <x v="0"/>
    <x v="0"/>
    <x v="1"/>
    <x v="3"/>
    <x v="1"/>
    <n v="3"/>
    <n v="6"/>
    <x v="0"/>
  </r>
  <r>
    <n v="374"/>
    <x v="4"/>
    <x v="1"/>
    <x v="1"/>
    <s v="India"/>
    <x v="40"/>
    <x v="10"/>
    <x v="0"/>
    <x v="4"/>
    <x v="2"/>
    <x v="0"/>
    <n v="4"/>
    <n v="8"/>
    <x v="0"/>
  </r>
  <r>
    <n v="375"/>
    <x v="2"/>
    <x v="0"/>
    <x v="0"/>
    <s v="Switzerland"/>
    <x v="46"/>
    <x v="0"/>
    <x v="1"/>
    <x v="36"/>
    <x v="1"/>
    <x v="1"/>
    <n v="2"/>
    <n v="4"/>
    <x v="1"/>
  </r>
  <r>
    <n v="376"/>
    <x v="1"/>
    <x v="1"/>
    <x v="1"/>
    <s v="Turkey"/>
    <x v="17"/>
    <x v="2"/>
    <x v="0"/>
    <x v="9"/>
    <x v="0"/>
    <x v="1"/>
    <n v="3"/>
    <n v="7"/>
    <x v="0"/>
  </r>
  <r>
    <n v="377"/>
    <x v="0"/>
    <x v="0"/>
    <x v="0"/>
    <s v="USA"/>
    <x v="54"/>
    <x v="0"/>
    <x v="0"/>
    <x v="2"/>
    <x v="2"/>
    <x v="0"/>
    <n v="4"/>
    <n v="9"/>
    <x v="2"/>
  </r>
  <r>
    <n v="378"/>
    <x v="4"/>
    <x v="1"/>
    <x v="1"/>
    <s v="Mexico"/>
    <x v="25"/>
    <x v="10"/>
    <x v="0"/>
    <x v="28"/>
    <x v="0"/>
    <x v="1"/>
    <n v="3"/>
    <n v="7"/>
    <x v="0"/>
  </r>
  <r>
    <n v="379"/>
    <x v="2"/>
    <x v="0"/>
    <x v="0"/>
    <s v="France"/>
    <x v="8"/>
    <x v="0"/>
    <x v="1"/>
    <x v="6"/>
    <x v="3"/>
    <x v="0"/>
    <n v="2"/>
    <n v="5"/>
    <x v="0"/>
  </r>
  <r>
    <n v="380"/>
    <x v="1"/>
    <x v="1"/>
    <x v="1"/>
    <s v="Canada"/>
    <x v="10"/>
    <x v="2"/>
    <x v="0"/>
    <x v="21"/>
    <x v="0"/>
    <x v="1"/>
    <n v="3"/>
    <n v="7"/>
    <x v="0"/>
  </r>
  <r>
    <n v="381"/>
    <x v="0"/>
    <x v="0"/>
    <x v="0"/>
    <s v="Spain"/>
    <x v="38"/>
    <x v="0"/>
    <x v="0"/>
    <x v="16"/>
    <x v="0"/>
    <x v="1"/>
    <n v="3"/>
    <n v="7"/>
    <x v="0"/>
  </r>
  <r>
    <n v="382"/>
    <x v="4"/>
    <x v="1"/>
    <x v="1"/>
    <s v="Denmark"/>
    <x v="46"/>
    <x v="4"/>
    <x v="1"/>
    <x v="36"/>
    <x v="1"/>
    <x v="0"/>
    <n v="2"/>
    <n v="4"/>
    <x v="1"/>
  </r>
  <r>
    <n v="383"/>
    <x v="2"/>
    <x v="0"/>
    <x v="0"/>
    <s v="Ireland"/>
    <x v="44"/>
    <x v="2"/>
    <x v="0"/>
    <x v="29"/>
    <x v="3"/>
    <x v="1"/>
    <n v="3"/>
    <n v="6"/>
    <x v="0"/>
  </r>
  <r>
    <n v="384"/>
    <x v="1"/>
    <x v="1"/>
    <x v="1"/>
    <s v="India"/>
    <x v="47"/>
    <x v="10"/>
    <x v="0"/>
    <x v="15"/>
    <x v="2"/>
    <x v="0"/>
    <n v="4"/>
    <n v="8"/>
    <x v="0"/>
  </r>
  <r>
    <n v="385"/>
    <x v="0"/>
    <x v="0"/>
    <x v="0"/>
    <s v="Switzerland"/>
    <x v="9"/>
    <x v="0"/>
    <x v="1"/>
    <x v="38"/>
    <x v="1"/>
    <x v="1"/>
    <n v="2"/>
    <n v="4"/>
    <x v="1"/>
  </r>
  <r>
    <n v="386"/>
    <x v="4"/>
    <x v="1"/>
    <x v="1"/>
    <s v="Turkey"/>
    <x v="22"/>
    <x v="0"/>
    <x v="0"/>
    <x v="16"/>
    <x v="0"/>
    <x v="1"/>
    <n v="3"/>
    <n v="7"/>
    <x v="0"/>
  </r>
  <r>
    <n v="387"/>
    <x v="2"/>
    <x v="0"/>
    <x v="0"/>
    <s v="USA"/>
    <x v="55"/>
    <x v="2"/>
    <x v="0"/>
    <x v="35"/>
    <x v="2"/>
    <x v="0"/>
    <n v="4"/>
    <n v="9"/>
    <x v="2"/>
  </r>
  <r>
    <n v="388"/>
    <x v="1"/>
    <x v="1"/>
    <x v="1"/>
    <s v="Mexico"/>
    <x v="35"/>
    <x v="10"/>
    <x v="0"/>
    <x v="4"/>
    <x v="0"/>
    <x v="1"/>
    <n v="3"/>
    <n v="7"/>
    <x v="0"/>
  </r>
  <r>
    <n v="389"/>
    <x v="0"/>
    <x v="0"/>
    <x v="0"/>
    <s v="France"/>
    <x v="36"/>
    <x v="0"/>
    <x v="1"/>
    <x v="32"/>
    <x v="3"/>
    <x v="0"/>
    <n v="2"/>
    <n v="5"/>
    <x v="0"/>
  </r>
  <r>
    <n v="390"/>
    <x v="4"/>
    <x v="1"/>
    <x v="1"/>
    <s v="Canada"/>
    <x v="19"/>
    <x v="0"/>
    <x v="0"/>
    <x v="1"/>
    <x v="0"/>
    <x v="1"/>
    <n v="3"/>
    <n v="7"/>
    <x v="0"/>
  </r>
  <r>
    <n v="391"/>
    <x v="2"/>
    <x v="0"/>
    <x v="0"/>
    <s v="Spain"/>
    <x v="4"/>
    <x v="2"/>
    <x v="0"/>
    <x v="21"/>
    <x v="0"/>
    <x v="1"/>
    <n v="3"/>
    <n v="7"/>
    <x v="0"/>
  </r>
  <r>
    <n v="392"/>
    <x v="1"/>
    <x v="1"/>
    <x v="1"/>
    <s v="Denmark"/>
    <x v="9"/>
    <x v="4"/>
    <x v="1"/>
    <x v="38"/>
    <x v="1"/>
    <x v="0"/>
    <n v="2"/>
    <n v="4"/>
    <x v="1"/>
  </r>
  <r>
    <n v="393"/>
    <x v="0"/>
    <x v="0"/>
    <x v="0"/>
    <s v="Ireland"/>
    <x v="15"/>
    <x v="0"/>
    <x v="0"/>
    <x v="30"/>
    <x v="3"/>
    <x v="1"/>
    <n v="3"/>
    <n v="6"/>
    <x v="0"/>
  </r>
  <r>
    <n v="394"/>
    <x v="4"/>
    <x v="1"/>
    <x v="1"/>
    <s v="India"/>
    <x v="13"/>
    <x v="10"/>
    <x v="0"/>
    <x v="8"/>
    <x v="2"/>
    <x v="0"/>
    <n v="4"/>
    <n v="8"/>
    <x v="0"/>
  </r>
  <r>
    <n v="395"/>
    <x v="2"/>
    <x v="0"/>
    <x v="0"/>
    <s v="Switzerland"/>
    <x v="24"/>
    <x v="0"/>
    <x v="1"/>
    <x v="40"/>
    <x v="1"/>
    <x v="1"/>
    <n v="2"/>
    <n v="4"/>
    <x v="1"/>
  </r>
  <r>
    <n v="396"/>
    <x v="1"/>
    <x v="1"/>
    <x v="1"/>
    <s v="Turkey"/>
    <x v="10"/>
    <x v="2"/>
    <x v="0"/>
    <x v="21"/>
    <x v="0"/>
    <x v="1"/>
    <n v="3"/>
    <n v="7"/>
    <x v="0"/>
  </r>
  <r>
    <n v="397"/>
    <x v="0"/>
    <x v="0"/>
    <x v="0"/>
    <s v="USA"/>
    <x v="56"/>
    <x v="0"/>
    <x v="0"/>
    <x v="37"/>
    <x v="2"/>
    <x v="0"/>
    <n v="4"/>
    <n v="9"/>
    <x v="2"/>
  </r>
  <r>
    <n v="398"/>
    <x v="4"/>
    <x v="1"/>
    <x v="1"/>
    <s v="Mexico"/>
    <x v="40"/>
    <x v="10"/>
    <x v="0"/>
    <x v="15"/>
    <x v="0"/>
    <x v="1"/>
    <n v="3"/>
    <n v="7"/>
    <x v="0"/>
  </r>
  <r>
    <n v="399"/>
    <x v="2"/>
    <x v="0"/>
    <x v="0"/>
    <s v="France"/>
    <x v="26"/>
    <x v="0"/>
    <x v="1"/>
    <x v="33"/>
    <x v="3"/>
    <x v="0"/>
    <n v="2"/>
    <n v="5"/>
    <x v="0"/>
  </r>
  <r>
    <n v="400"/>
    <x v="1"/>
    <x v="1"/>
    <x v="1"/>
    <s v="Canada"/>
    <x v="38"/>
    <x v="2"/>
    <x v="0"/>
    <x v="29"/>
    <x v="0"/>
    <x v="1"/>
    <n v="3"/>
    <n v="7"/>
    <x v="0"/>
  </r>
  <r>
    <n v="401"/>
    <x v="0"/>
    <x v="0"/>
    <x v="0"/>
    <s v="Spain"/>
    <x v="27"/>
    <x v="0"/>
    <x v="0"/>
    <x v="1"/>
    <x v="0"/>
    <x v="1"/>
    <n v="3"/>
    <n v="7"/>
    <x v="0"/>
  </r>
  <r>
    <n v="402"/>
    <x v="4"/>
    <x v="1"/>
    <x v="1"/>
    <s v="Denmark"/>
    <x v="24"/>
    <x v="4"/>
    <x v="1"/>
    <x v="40"/>
    <x v="1"/>
    <x v="0"/>
    <n v="2"/>
    <n v="4"/>
    <x v="1"/>
  </r>
  <r>
    <n v="403"/>
    <x v="2"/>
    <x v="0"/>
    <x v="0"/>
    <s v="Ireland"/>
    <x v="45"/>
    <x v="2"/>
    <x v="0"/>
    <x v="12"/>
    <x v="3"/>
    <x v="1"/>
    <n v="3"/>
    <n v="6"/>
    <x v="0"/>
  </r>
  <r>
    <n v="404"/>
    <x v="1"/>
    <x v="1"/>
    <x v="1"/>
    <s v="India"/>
    <x v="52"/>
    <x v="10"/>
    <x v="0"/>
    <x v="13"/>
    <x v="2"/>
    <x v="0"/>
    <n v="4"/>
    <n v="8"/>
    <x v="2"/>
  </r>
  <r>
    <n v="405"/>
    <x v="0"/>
    <x v="0"/>
    <x v="0"/>
    <s v="Switzerland"/>
    <x v="34"/>
    <x v="0"/>
    <x v="1"/>
    <x v="43"/>
    <x v="1"/>
    <x v="1"/>
    <n v="2"/>
    <n v="4"/>
    <x v="1"/>
  </r>
  <r>
    <n v="406"/>
    <x v="4"/>
    <x v="1"/>
    <x v="1"/>
    <s v="Turkey"/>
    <x v="19"/>
    <x v="0"/>
    <x v="0"/>
    <x v="1"/>
    <x v="0"/>
    <x v="1"/>
    <n v="3"/>
    <n v="7"/>
    <x v="0"/>
  </r>
  <r>
    <n v="407"/>
    <x v="2"/>
    <x v="0"/>
    <x v="0"/>
    <s v="USA"/>
    <x v="57"/>
    <x v="2"/>
    <x v="0"/>
    <x v="39"/>
    <x v="2"/>
    <x v="0"/>
    <n v="4"/>
    <n v="9"/>
    <x v="2"/>
  </r>
  <r>
    <n v="408"/>
    <x v="1"/>
    <x v="1"/>
    <x v="1"/>
    <s v="Mexico"/>
    <x v="47"/>
    <x v="10"/>
    <x v="0"/>
    <x v="8"/>
    <x v="0"/>
    <x v="1"/>
    <n v="3"/>
    <n v="7"/>
    <x v="0"/>
  </r>
  <r>
    <n v="409"/>
    <x v="0"/>
    <x v="0"/>
    <x v="0"/>
    <s v="France"/>
    <x v="14"/>
    <x v="0"/>
    <x v="1"/>
    <x v="34"/>
    <x v="3"/>
    <x v="0"/>
    <n v="2"/>
    <n v="5"/>
    <x v="0"/>
  </r>
  <r>
    <n v="410"/>
    <x v="4"/>
    <x v="1"/>
    <x v="1"/>
    <s v="Canada"/>
    <x v="4"/>
    <x v="0"/>
    <x v="0"/>
    <x v="30"/>
    <x v="0"/>
    <x v="1"/>
    <n v="3"/>
    <n v="7"/>
    <x v="0"/>
  </r>
  <r>
    <n v="411"/>
    <x v="2"/>
    <x v="0"/>
    <x v="0"/>
    <s v="Spain"/>
    <x v="44"/>
    <x v="2"/>
    <x v="0"/>
    <x v="29"/>
    <x v="0"/>
    <x v="1"/>
    <n v="3"/>
    <n v="7"/>
    <x v="0"/>
  </r>
  <r>
    <n v="412"/>
    <x v="1"/>
    <x v="1"/>
    <x v="1"/>
    <s v="Denmark"/>
    <x v="34"/>
    <x v="4"/>
    <x v="1"/>
    <x v="43"/>
    <x v="1"/>
    <x v="0"/>
    <n v="2"/>
    <n v="4"/>
    <x v="1"/>
  </r>
  <r>
    <n v="413"/>
    <x v="0"/>
    <x v="0"/>
    <x v="0"/>
    <s v="Ireland"/>
    <x v="8"/>
    <x v="0"/>
    <x v="0"/>
    <x v="31"/>
    <x v="3"/>
    <x v="1"/>
    <n v="3"/>
    <n v="6"/>
    <x v="0"/>
  </r>
  <r>
    <n v="414"/>
    <x v="4"/>
    <x v="1"/>
    <x v="1"/>
    <s v="India"/>
    <x v="51"/>
    <x v="10"/>
    <x v="0"/>
    <x v="25"/>
    <x v="2"/>
    <x v="0"/>
    <n v="4"/>
    <n v="8"/>
    <x v="2"/>
  </r>
  <r>
    <n v="415"/>
    <x v="2"/>
    <x v="0"/>
    <x v="0"/>
    <s v="Switzerland"/>
    <x v="3"/>
    <x v="0"/>
    <x v="1"/>
    <x v="45"/>
    <x v="1"/>
    <x v="1"/>
    <n v="2"/>
    <n v="4"/>
    <x v="1"/>
  </r>
  <r>
    <n v="416"/>
    <x v="1"/>
    <x v="1"/>
    <x v="1"/>
    <s v="Turkey"/>
    <x v="38"/>
    <x v="2"/>
    <x v="0"/>
    <x v="29"/>
    <x v="0"/>
    <x v="1"/>
    <n v="3"/>
    <n v="7"/>
    <x v="0"/>
  </r>
  <r>
    <n v="417"/>
    <x v="0"/>
    <x v="0"/>
    <x v="0"/>
    <s v="USA"/>
    <x v="58"/>
    <x v="0"/>
    <x v="0"/>
    <x v="41"/>
    <x v="2"/>
    <x v="0"/>
    <n v="4"/>
    <n v="9"/>
    <x v="2"/>
  </r>
  <r>
    <n v="418"/>
    <x v="4"/>
    <x v="1"/>
    <x v="1"/>
    <s v="Mexico"/>
    <x v="13"/>
    <x v="10"/>
    <x v="0"/>
    <x v="13"/>
    <x v="0"/>
    <x v="1"/>
    <n v="3"/>
    <n v="7"/>
    <x v="0"/>
  </r>
  <r>
    <n v="419"/>
    <x v="2"/>
    <x v="0"/>
    <x v="0"/>
    <s v="France"/>
    <x v="30"/>
    <x v="0"/>
    <x v="1"/>
    <x v="36"/>
    <x v="3"/>
    <x v="0"/>
    <n v="2"/>
    <n v="5"/>
    <x v="0"/>
  </r>
  <r>
    <n v="420"/>
    <x v="1"/>
    <x v="1"/>
    <x v="1"/>
    <s v="Canada"/>
    <x v="27"/>
    <x v="2"/>
    <x v="0"/>
    <x v="12"/>
    <x v="0"/>
    <x v="1"/>
    <n v="3"/>
    <n v="7"/>
    <x v="0"/>
  </r>
  <r>
    <n v="421"/>
    <x v="0"/>
    <x v="0"/>
    <x v="0"/>
    <s v="Spain"/>
    <x v="15"/>
    <x v="0"/>
    <x v="0"/>
    <x v="30"/>
    <x v="0"/>
    <x v="1"/>
    <n v="3"/>
    <n v="7"/>
    <x v="0"/>
  </r>
  <r>
    <n v="422"/>
    <x v="4"/>
    <x v="1"/>
    <x v="1"/>
    <s v="Denmark"/>
    <x v="3"/>
    <x v="4"/>
    <x v="1"/>
    <x v="45"/>
    <x v="1"/>
    <x v="0"/>
    <n v="2"/>
    <n v="4"/>
    <x v="1"/>
  </r>
  <r>
    <n v="423"/>
    <x v="2"/>
    <x v="0"/>
    <x v="0"/>
    <s v="Ireland"/>
    <x v="36"/>
    <x v="2"/>
    <x v="0"/>
    <x v="6"/>
    <x v="3"/>
    <x v="1"/>
    <n v="3"/>
    <n v="6"/>
    <x v="0"/>
  </r>
  <r>
    <n v="424"/>
    <x v="1"/>
    <x v="1"/>
    <x v="1"/>
    <s v="India"/>
    <x v="49"/>
    <x v="10"/>
    <x v="0"/>
    <x v="10"/>
    <x v="2"/>
    <x v="0"/>
    <n v="4"/>
    <n v="8"/>
    <x v="2"/>
  </r>
  <r>
    <n v="425"/>
    <x v="0"/>
    <x v="0"/>
    <x v="0"/>
    <s v="Switzerland"/>
    <x v="42"/>
    <x v="0"/>
    <x v="1"/>
    <x v="47"/>
    <x v="1"/>
    <x v="1"/>
    <n v="2"/>
    <n v="4"/>
    <x v="1"/>
  </r>
  <r>
    <n v="426"/>
    <x v="4"/>
    <x v="1"/>
    <x v="1"/>
    <s v="Turkey"/>
    <x v="4"/>
    <x v="0"/>
    <x v="0"/>
    <x v="30"/>
    <x v="0"/>
    <x v="1"/>
    <n v="3"/>
    <n v="7"/>
    <x v="0"/>
  </r>
  <r>
    <n v="427"/>
    <x v="2"/>
    <x v="0"/>
    <x v="0"/>
    <s v="USA"/>
    <x v="59"/>
    <x v="2"/>
    <x v="0"/>
    <x v="5"/>
    <x v="2"/>
    <x v="0"/>
    <n v="4"/>
    <n v="9"/>
    <x v="2"/>
  </r>
  <r>
    <n v="428"/>
    <x v="1"/>
    <x v="1"/>
    <x v="1"/>
    <s v="Mexico"/>
    <x v="52"/>
    <x v="10"/>
    <x v="0"/>
    <x v="25"/>
    <x v="0"/>
    <x v="1"/>
    <n v="3"/>
    <n v="7"/>
    <x v="2"/>
  </r>
  <r>
    <n v="429"/>
    <x v="0"/>
    <x v="0"/>
    <x v="0"/>
    <s v="France"/>
    <x v="18"/>
    <x v="0"/>
    <x v="1"/>
    <x v="38"/>
    <x v="3"/>
    <x v="0"/>
    <n v="2"/>
    <n v="5"/>
    <x v="1"/>
  </r>
  <r>
    <n v="430"/>
    <x v="4"/>
    <x v="1"/>
    <x v="1"/>
    <s v="Canada"/>
    <x v="44"/>
    <x v="0"/>
    <x v="0"/>
    <x v="31"/>
    <x v="0"/>
    <x v="1"/>
    <n v="3"/>
    <n v="7"/>
    <x v="0"/>
  </r>
  <r>
    <n v="431"/>
    <x v="2"/>
    <x v="0"/>
    <x v="0"/>
    <s v="Spain"/>
    <x v="45"/>
    <x v="2"/>
    <x v="0"/>
    <x v="12"/>
    <x v="0"/>
    <x v="1"/>
    <n v="3"/>
    <n v="7"/>
    <x v="0"/>
  </r>
  <r>
    <n v="432"/>
    <x v="1"/>
    <x v="1"/>
    <x v="1"/>
    <s v="Denmark"/>
    <x v="42"/>
    <x v="4"/>
    <x v="1"/>
    <x v="47"/>
    <x v="1"/>
    <x v="0"/>
    <n v="2"/>
    <n v="4"/>
    <x v="1"/>
  </r>
  <r>
    <n v="433"/>
    <x v="0"/>
    <x v="0"/>
    <x v="0"/>
    <s v="Ireland"/>
    <x v="26"/>
    <x v="0"/>
    <x v="0"/>
    <x v="32"/>
    <x v="3"/>
    <x v="1"/>
    <n v="3"/>
    <n v="6"/>
    <x v="0"/>
  </r>
  <r>
    <n v="434"/>
    <x v="4"/>
    <x v="1"/>
    <x v="1"/>
    <s v="India"/>
    <x v="50"/>
    <x v="10"/>
    <x v="0"/>
    <x v="17"/>
    <x v="2"/>
    <x v="0"/>
    <n v="4"/>
    <n v="8"/>
    <x v="2"/>
  </r>
  <r>
    <n v="435"/>
    <x v="2"/>
    <x v="0"/>
    <x v="0"/>
    <s v="Switzerland"/>
    <x v="12"/>
    <x v="0"/>
    <x v="1"/>
    <x v="49"/>
    <x v="1"/>
    <x v="1"/>
    <n v="2"/>
    <n v="4"/>
    <x v="1"/>
  </r>
  <r>
    <n v="436"/>
    <x v="1"/>
    <x v="1"/>
    <x v="1"/>
    <s v="Turkey"/>
    <x v="27"/>
    <x v="2"/>
    <x v="0"/>
    <x v="12"/>
    <x v="0"/>
    <x v="1"/>
    <n v="3"/>
    <n v="7"/>
    <x v="0"/>
  </r>
  <r>
    <n v="437"/>
    <x v="0"/>
    <x v="0"/>
    <x v="0"/>
    <s v="USA"/>
    <x v="60"/>
    <x v="0"/>
    <x v="0"/>
    <x v="42"/>
    <x v="2"/>
    <x v="0"/>
    <n v="4"/>
    <n v="9"/>
    <x v="2"/>
  </r>
  <r>
    <n v="438"/>
    <x v="4"/>
    <x v="1"/>
    <x v="1"/>
    <s v="Mexico"/>
    <x v="51"/>
    <x v="10"/>
    <x v="0"/>
    <x v="10"/>
    <x v="0"/>
    <x v="1"/>
    <n v="3"/>
    <n v="7"/>
    <x v="2"/>
  </r>
  <r>
    <n v="439"/>
    <x v="2"/>
    <x v="0"/>
    <x v="0"/>
    <s v="France"/>
    <x v="46"/>
    <x v="0"/>
    <x v="1"/>
    <x v="40"/>
    <x v="3"/>
    <x v="0"/>
    <n v="2"/>
    <n v="5"/>
    <x v="1"/>
  </r>
  <r>
    <n v="440"/>
    <x v="1"/>
    <x v="1"/>
    <x v="1"/>
    <s v="Canada"/>
    <x v="15"/>
    <x v="2"/>
    <x v="0"/>
    <x v="6"/>
    <x v="0"/>
    <x v="1"/>
    <n v="3"/>
    <n v="7"/>
    <x v="0"/>
  </r>
  <r>
    <n v="441"/>
    <x v="0"/>
    <x v="0"/>
    <x v="0"/>
    <s v="Spain"/>
    <x v="8"/>
    <x v="0"/>
    <x v="0"/>
    <x v="31"/>
    <x v="0"/>
    <x v="1"/>
    <n v="3"/>
    <n v="7"/>
    <x v="0"/>
  </r>
  <r>
    <n v="442"/>
    <x v="4"/>
    <x v="1"/>
    <x v="1"/>
    <s v="Denmark"/>
    <x v="12"/>
    <x v="4"/>
    <x v="1"/>
    <x v="49"/>
    <x v="1"/>
    <x v="0"/>
    <n v="2"/>
    <n v="4"/>
    <x v="1"/>
  </r>
  <r>
    <n v="443"/>
    <x v="2"/>
    <x v="0"/>
    <x v="0"/>
    <s v="Ireland"/>
    <x v="14"/>
    <x v="2"/>
    <x v="0"/>
    <x v="33"/>
    <x v="3"/>
    <x v="1"/>
    <n v="3"/>
    <n v="6"/>
    <x v="0"/>
  </r>
  <r>
    <n v="444"/>
    <x v="1"/>
    <x v="1"/>
    <x v="1"/>
    <s v="India"/>
    <x v="48"/>
    <x v="10"/>
    <x v="0"/>
    <x v="22"/>
    <x v="2"/>
    <x v="0"/>
    <n v="4"/>
    <n v="8"/>
    <x v="2"/>
  </r>
  <r>
    <n v="445"/>
    <x v="0"/>
    <x v="0"/>
    <x v="0"/>
    <s v="Switzerland"/>
    <x v="39"/>
    <x v="0"/>
    <x v="1"/>
    <x v="50"/>
    <x v="1"/>
    <x v="1"/>
    <n v="2"/>
    <n v="4"/>
    <x v="1"/>
  </r>
  <r>
    <n v="446"/>
    <x v="4"/>
    <x v="1"/>
    <x v="1"/>
    <s v="Turkey"/>
    <x v="44"/>
    <x v="0"/>
    <x v="0"/>
    <x v="31"/>
    <x v="0"/>
    <x v="1"/>
    <n v="3"/>
    <n v="7"/>
    <x v="0"/>
  </r>
  <r>
    <n v="447"/>
    <x v="2"/>
    <x v="0"/>
    <x v="0"/>
    <s v="USA"/>
    <x v="61"/>
    <x v="2"/>
    <x v="0"/>
    <x v="44"/>
    <x v="2"/>
    <x v="0"/>
    <n v="4"/>
    <n v="9"/>
    <x v="2"/>
  </r>
  <r>
    <n v="448"/>
    <x v="1"/>
    <x v="1"/>
    <x v="1"/>
    <s v="Mexico"/>
    <x v="49"/>
    <x v="10"/>
    <x v="0"/>
    <x v="17"/>
    <x v="0"/>
    <x v="1"/>
    <n v="3"/>
    <n v="7"/>
    <x v="2"/>
  </r>
  <r>
    <n v="449"/>
    <x v="0"/>
    <x v="0"/>
    <x v="0"/>
    <s v="France"/>
    <x v="9"/>
    <x v="0"/>
    <x v="1"/>
    <x v="43"/>
    <x v="3"/>
    <x v="0"/>
    <n v="2"/>
    <n v="5"/>
    <x v="1"/>
  </r>
  <r>
    <n v="450"/>
    <x v="4"/>
    <x v="1"/>
    <x v="1"/>
    <s v="Canada"/>
    <x v="45"/>
    <x v="0"/>
    <x v="0"/>
    <x v="32"/>
    <x v="0"/>
    <x v="1"/>
    <n v="3"/>
    <n v="7"/>
    <x v="0"/>
  </r>
  <r>
    <n v="451"/>
    <x v="2"/>
    <x v="0"/>
    <x v="0"/>
    <s v="Spain"/>
    <x v="36"/>
    <x v="2"/>
    <x v="0"/>
    <x v="6"/>
    <x v="0"/>
    <x v="1"/>
    <n v="3"/>
    <n v="7"/>
    <x v="0"/>
  </r>
  <r>
    <n v="452"/>
    <x v="1"/>
    <x v="1"/>
    <x v="1"/>
    <s v="Denmark"/>
    <x v="39"/>
    <x v="4"/>
    <x v="1"/>
    <x v="50"/>
    <x v="1"/>
    <x v="0"/>
    <n v="2"/>
    <n v="4"/>
    <x v="1"/>
  </r>
  <r>
    <n v="453"/>
    <x v="0"/>
    <x v="0"/>
    <x v="0"/>
    <s v="Ireland"/>
    <x v="30"/>
    <x v="0"/>
    <x v="0"/>
    <x v="34"/>
    <x v="3"/>
    <x v="1"/>
    <n v="3"/>
    <n v="6"/>
    <x v="0"/>
  </r>
  <r>
    <n v="454"/>
    <x v="4"/>
    <x v="1"/>
    <x v="1"/>
    <s v="India"/>
    <x v="53"/>
    <x v="10"/>
    <x v="0"/>
    <x v="19"/>
    <x v="2"/>
    <x v="0"/>
    <n v="4"/>
    <n v="8"/>
    <x v="2"/>
  </r>
  <r>
    <n v="455"/>
    <x v="2"/>
    <x v="0"/>
    <x v="0"/>
    <s v="Switzerland"/>
    <x v="32"/>
    <x v="0"/>
    <x v="1"/>
    <x v="51"/>
    <x v="1"/>
    <x v="1"/>
    <n v="2"/>
    <n v="4"/>
    <x v="1"/>
  </r>
  <r>
    <n v="456"/>
    <x v="1"/>
    <x v="1"/>
    <x v="1"/>
    <s v="Turkey"/>
    <x v="15"/>
    <x v="2"/>
    <x v="0"/>
    <x v="6"/>
    <x v="0"/>
    <x v="1"/>
    <n v="3"/>
    <n v="7"/>
    <x v="0"/>
  </r>
  <r>
    <n v="457"/>
    <x v="0"/>
    <x v="0"/>
    <x v="0"/>
    <s v="USA"/>
    <x v="62"/>
    <x v="0"/>
    <x v="0"/>
    <x v="46"/>
    <x v="2"/>
    <x v="0"/>
    <n v="4"/>
    <n v="9"/>
    <x v="2"/>
  </r>
  <r>
    <n v="458"/>
    <x v="4"/>
    <x v="1"/>
    <x v="1"/>
    <s v="Mexico"/>
    <x v="50"/>
    <x v="10"/>
    <x v="0"/>
    <x v="22"/>
    <x v="0"/>
    <x v="1"/>
    <n v="3"/>
    <n v="7"/>
    <x v="2"/>
  </r>
  <r>
    <n v="459"/>
    <x v="2"/>
    <x v="0"/>
    <x v="0"/>
    <s v="France"/>
    <x v="24"/>
    <x v="0"/>
    <x v="1"/>
    <x v="45"/>
    <x v="3"/>
    <x v="0"/>
    <n v="2"/>
    <n v="5"/>
    <x v="1"/>
  </r>
  <r>
    <n v="460"/>
    <x v="1"/>
    <x v="1"/>
    <x v="1"/>
    <s v="Canada"/>
    <x v="8"/>
    <x v="2"/>
    <x v="0"/>
    <x v="33"/>
    <x v="0"/>
    <x v="1"/>
    <n v="3"/>
    <n v="7"/>
    <x v="0"/>
  </r>
  <r>
    <n v="461"/>
    <x v="0"/>
    <x v="0"/>
    <x v="0"/>
    <s v="Spain"/>
    <x v="26"/>
    <x v="0"/>
    <x v="0"/>
    <x v="32"/>
    <x v="0"/>
    <x v="1"/>
    <n v="3"/>
    <n v="7"/>
    <x v="0"/>
  </r>
  <r>
    <n v="462"/>
    <x v="4"/>
    <x v="1"/>
    <x v="1"/>
    <s v="Denmark"/>
    <x v="32"/>
    <x v="4"/>
    <x v="1"/>
    <x v="51"/>
    <x v="1"/>
    <x v="0"/>
    <n v="2"/>
    <n v="4"/>
    <x v="1"/>
  </r>
  <r>
    <n v="463"/>
    <x v="2"/>
    <x v="0"/>
    <x v="0"/>
    <s v="Ireland"/>
    <x v="18"/>
    <x v="2"/>
    <x v="0"/>
    <x v="36"/>
    <x v="3"/>
    <x v="1"/>
    <n v="3"/>
    <n v="6"/>
    <x v="1"/>
  </r>
  <r>
    <n v="464"/>
    <x v="1"/>
    <x v="1"/>
    <x v="1"/>
    <s v="India"/>
    <x v="5"/>
    <x v="10"/>
    <x v="0"/>
    <x v="23"/>
    <x v="2"/>
    <x v="0"/>
    <n v="4"/>
    <n v="8"/>
    <x v="2"/>
  </r>
  <r>
    <n v="465"/>
    <x v="0"/>
    <x v="0"/>
    <x v="0"/>
    <s v="Switzerland"/>
    <x v="21"/>
    <x v="0"/>
    <x v="1"/>
    <x v="52"/>
    <x v="1"/>
    <x v="1"/>
    <n v="2"/>
    <n v="4"/>
    <x v="1"/>
  </r>
  <r>
    <n v="466"/>
    <x v="4"/>
    <x v="1"/>
    <x v="1"/>
    <s v="Turkey"/>
    <x v="45"/>
    <x v="0"/>
    <x v="0"/>
    <x v="32"/>
    <x v="0"/>
    <x v="1"/>
    <n v="3"/>
    <n v="7"/>
    <x v="0"/>
  </r>
  <r>
    <n v="467"/>
    <x v="2"/>
    <x v="0"/>
    <x v="0"/>
    <s v="USA"/>
    <x v="63"/>
    <x v="2"/>
    <x v="0"/>
    <x v="48"/>
    <x v="2"/>
    <x v="0"/>
    <n v="4"/>
    <n v="9"/>
    <x v="2"/>
  </r>
  <r>
    <n v="468"/>
    <x v="1"/>
    <x v="1"/>
    <x v="1"/>
    <s v="Mexico"/>
    <x v="48"/>
    <x v="10"/>
    <x v="0"/>
    <x v="19"/>
    <x v="0"/>
    <x v="1"/>
    <n v="3"/>
    <n v="7"/>
    <x v="2"/>
  </r>
  <r>
    <n v="469"/>
    <x v="0"/>
    <x v="0"/>
    <x v="0"/>
    <s v="France"/>
    <x v="34"/>
    <x v="0"/>
    <x v="1"/>
    <x v="47"/>
    <x v="3"/>
    <x v="0"/>
    <n v="2"/>
    <n v="5"/>
    <x v="1"/>
  </r>
  <r>
    <n v="470"/>
    <x v="4"/>
    <x v="1"/>
    <x v="1"/>
    <s v="Canada"/>
    <x v="36"/>
    <x v="0"/>
    <x v="0"/>
    <x v="34"/>
    <x v="0"/>
    <x v="1"/>
    <n v="3"/>
    <n v="7"/>
    <x v="0"/>
  </r>
  <r>
    <n v="471"/>
    <x v="2"/>
    <x v="0"/>
    <x v="0"/>
    <s v="Spain"/>
    <x v="14"/>
    <x v="2"/>
    <x v="0"/>
    <x v="33"/>
    <x v="0"/>
    <x v="1"/>
    <n v="3"/>
    <n v="7"/>
    <x v="0"/>
  </r>
  <r>
    <n v="472"/>
    <x v="1"/>
    <x v="1"/>
    <x v="1"/>
    <s v="Denmark"/>
    <x v="21"/>
    <x v="4"/>
    <x v="1"/>
    <x v="52"/>
    <x v="1"/>
    <x v="0"/>
    <n v="2"/>
    <n v="4"/>
    <x v="1"/>
  </r>
  <r>
    <n v="473"/>
    <x v="0"/>
    <x v="0"/>
    <x v="0"/>
    <s v="Ireland"/>
    <x v="46"/>
    <x v="0"/>
    <x v="0"/>
    <x v="38"/>
    <x v="3"/>
    <x v="1"/>
    <n v="3"/>
    <n v="6"/>
    <x v="1"/>
  </r>
  <r>
    <n v="474"/>
    <x v="4"/>
    <x v="1"/>
    <x v="1"/>
    <s v="India"/>
    <x v="54"/>
    <x v="10"/>
    <x v="0"/>
    <x v="2"/>
    <x v="2"/>
    <x v="0"/>
    <n v="4"/>
    <n v="8"/>
    <x v="2"/>
  </r>
  <r>
    <n v="475"/>
    <x v="2"/>
    <x v="0"/>
    <x v="0"/>
    <s v="Switzerland"/>
    <x v="41"/>
    <x v="0"/>
    <x v="1"/>
    <x v="53"/>
    <x v="1"/>
    <x v="1"/>
    <n v="2"/>
    <n v="4"/>
    <x v="1"/>
  </r>
  <r>
    <n v="476"/>
    <x v="1"/>
    <x v="1"/>
    <x v="1"/>
    <s v="Turkey"/>
    <x v="8"/>
    <x v="2"/>
    <x v="0"/>
    <x v="33"/>
    <x v="0"/>
    <x v="1"/>
    <n v="3"/>
    <n v="7"/>
    <x v="0"/>
  </r>
  <r>
    <n v="477"/>
    <x v="0"/>
    <x v="0"/>
    <x v="0"/>
    <s v="USA"/>
    <x v="64"/>
    <x v="0"/>
    <x v="0"/>
    <x v="54"/>
    <x v="2"/>
    <x v="0"/>
    <n v="4"/>
    <n v="9"/>
    <x v="2"/>
  </r>
  <r>
    <n v="478"/>
    <x v="4"/>
    <x v="1"/>
    <x v="1"/>
    <s v="Mexico"/>
    <x v="53"/>
    <x v="10"/>
    <x v="0"/>
    <x v="23"/>
    <x v="0"/>
    <x v="1"/>
    <n v="3"/>
    <n v="7"/>
    <x v="2"/>
  </r>
  <r>
    <n v="479"/>
    <x v="2"/>
    <x v="0"/>
    <x v="0"/>
    <s v="France"/>
    <x v="3"/>
    <x v="0"/>
    <x v="1"/>
    <x v="49"/>
    <x v="3"/>
    <x v="0"/>
    <n v="2"/>
    <n v="5"/>
    <x v="1"/>
  </r>
  <r>
    <n v="480"/>
    <x v="1"/>
    <x v="1"/>
    <x v="1"/>
    <s v="Canada"/>
    <x v="26"/>
    <x v="2"/>
    <x v="0"/>
    <x v="36"/>
    <x v="0"/>
    <x v="1"/>
    <n v="3"/>
    <n v="7"/>
    <x v="0"/>
  </r>
  <r>
    <n v="481"/>
    <x v="0"/>
    <x v="0"/>
    <x v="0"/>
    <s v="Spain"/>
    <x v="30"/>
    <x v="0"/>
    <x v="0"/>
    <x v="34"/>
    <x v="0"/>
    <x v="1"/>
    <n v="3"/>
    <n v="7"/>
    <x v="0"/>
  </r>
  <r>
    <n v="482"/>
    <x v="4"/>
    <x v="1"/>
    <x v="1"/>
    <s v="Denmark"/>
    <x v="41"/>
    <x v="4"/>
    <x v="1"/>
    <x v="53"/>
    <x v="1"/>
    <x v="0"/>
    <n v="2"/>
    <n v="4"/>
    <x v="1"/>
  </r>
  <r>
    <n v="483"/>
    <x v="2"/>
    <x v="0"/>
    <x v="0"/>
    <s v="Ireland"/>
    <x v="9"/>
    <x v="2"/>
    <x v="0"/>
    <x v="40"/>
    <x v="3"/>
    <x v="1"/>
    <n v="3"/>
    <n v="6"/>
    <x v="1"/>
  </r>
  <r>
    <n v="484"/>
    <x v="1"/>
    <x v="1"/>
    <x v="1"/>
    <s v="India"/>
    <x v="55"/>
    <x v="10"/>
    <x v="0"/>
    <x v="35"/>
    <x v="2"/>
    <x v="0"/>
    <n v="4"/>
    <n v="8"/>
    <x v="2"/>
  </r>
  <r>
    <n v="485"/>
    <x v="0"/>
    <x v="0"/>
    <x v="0"/>
    <s v="Switzerland"/>
    <x v="37"/>
    <x v="0"/>
    <x v="1"/>
    <x v="55"/>
    <x v="1"/>
    <x v="1"/>
    <n v="2"/>
    <n v="4"/>
    <x v="1"/>
  </r>
  <r>
    <n v="486"/>
    <x v="4"/>
    <x v="1"/>
    <x v="1"/>
    <s v="Turkey"/>
    <x v="36"/>
    <x v="0"/>
    <x v="0"/>
    <x v="34"/>
    <x v="0"/>
    <x v="1"/>
    <n v="3"/>
    <n v="7"/>
    <x v="0"/>
  </r>
  <r>
    <n v="487"/>
    <x v="2"/>
    <x v="0"/>
    <x v="0"/>
    <s v="USA"/>
    <x v="65"/>
    <x v="2"/>
    <x v="0"/>
    <x v="56"/>
    <x v="2"/>
    <x v="0"/>
    <n v="4"/>
    <n v="9"/>
    <x v="2"/>
  </r>
  <r>
    <n v="488"/>
    <x v="1"/>
    <x v="1"/>
    <x v="1"/>
    <s v="Mexico"/>
    <x v="5"/>
    <x v="10"/>
    <x v="0"/>
    <x v="2"/>
    <x v="0"/>
    <x v="1"/>
    <n v="3"/>
    <n v="7"/>
    <x v="2"/>
  </r>
  <r>
    <n v="489"/>
    <x v="0"/>
    <x v="0"/>
    <x v="0"/>
    <s v="France"/>
    <x v="42"/>
    <x v="0"/>
    <x v="1"/>
    <x v="50"/>
    <x v="3"/>
    <x v="0"/>
    <n v="2"/>
    <n v="5"/>
    <x v="1"/>
  </r>
  <r>
    <n v="490"/>
    <x v="4"/>
    <x v="1"/>
    <x v="1"/>
    <s v="Canada"/>
    <x v="14"/>
    <x v="0"/>
    <x v="0"/>
    <x v="38"/>
    <x v="0"/>
    <x v="1"/>
    <n v="3"/>
    <n v="7"/>
    <x v="0"/>
  </r>
  <r>
    <n v="491"/>
    <x v="2"/>
    <x v="0"/>
    <x v="0"/>
    <s v="Spain"/>
    <x v="18"/>
    <x v="2"/>
    <x v="0"/>
    <x v="36"/>
    <x v="0"/>
    <x v="1"/>
    <n v="3"/>
    <n v="7"/>
    <x v="1"/>
  </r>
  <r>
    <n v="492"/>
    <x v="1"/>
    <x v="1"/>
    <x v="1"/>
    <s v="Denmark"/>
    <x v="37"/>
    <x v="4"/>
    <x v="1"/>
    <x v="55"/>
    <x v="1"/>
    <x v="0"/>
    <n v="2"/>
    <n v="4"/>
    <x v="1"/>
  </r>
  <r>
    <n v="493"/>
    <x v="0"/>
    <x v="0"/>
    <x v="0"/>
    <s v="Ireland"/>
    <x v="24"/>
    <x v="0"/>
    <x v="0"/>
    <x v="43"/>
    <x v="3"/>
    <x v="1"/>
    <n v="3"/>
    <n v="6"/>
    <x v="1"/>
  </r>
  <r>
    <n v="494"/>
    <x v="4"/>
    <x v="1"/>
    <x v="1"/>
    <s v="India"/>
    <x v="56"/>
    <x v="10"/>
    <x v="0"/>
    <x v="37"/>
    <x v="2"/>
    <x v="0"/>
    <n v="4"/>
    <n v="8"/>
    <x v="2"/>
  </r>
  <r>
    <n v="495"/>
    <x v="2"/>
    <x v="0"/>
    <x v="0"/>
    <s v="Switzerland"/>
    <x v="28"/>
    <x v="0"/>
    <x v="1"/>
    <x v="57"/>
    <x v="1"/>
    <x v="1"/>
    <n v="2"/>
    <n v="4"/>
    <x v="1"/>
  </r>
  <r>
    <n v="496"/>
    <x v="1"/>
    <x v="1"/>
    <x v="1"/>
    <s v="Turkey"/>
    <x v="26"/>
    <x v="2"/>
    <x v="0"/>
    <x v="36"/>
    <x v="0"/>
    <x v="1"/>
    <n v="3"/>
    <n v="7"/>
    <x v="0"/>
  </r>
  <r>
    <n v="497"/>
    <x v="0"/>
    <x v="0"/>
    <x v="0"/>
    <s v="USA"/>
    <x v="66"/>
    <x v="0"/>
    <x v="0"/>
    <x v="58"/>
    <x v="2"/>
    <x v="0"/>
    <n v="4"/>
    <n v="9"/>
    <x v="2"/>
  </r>
  <r>
    <n v="498"/>
    <x v="4"/>
    <x v="1"/>
    <x v="1"/>
    <s v="Mexico"/>
    <x v="54"/>
    <x v="10"/>
    <x v="0"/>
    <x v="35"/>
    <x v="0"/>
    <x v="1"/>
    <n v="3"/>
    <n v="7"/>
    <x v="2"/>
  </r>
  <r>
    <n v="499"/>
    <x v="2"/>
    <x v="0"/>
    <x v="0"/>
    <s v="France"/>
    <x v="12"/>
    <x v="0"/>
    <x v="1"/>
    <x v="51"/>
    <x v="3"/>
    <x v="0"/>
    <n v="2"/>
    <n v="5"/>
    <x v="1"/>
  </r>
  <r>
    <n v="500"/>
    <x v="1"/>
    <x v="1"/>
    <x v="1"/>
    <s v="Canada"/>
    <x v="30"/>
    <x v="2"/>
    <x v="0"/>
    <x v="40"/>
    <x v="0"/>
    <x v="1"/>
    <n v="3"/>
    <n v="7"/>
    <x v="0"/>
  </r>
  <r>
    <n v="501"/>
    <x v="0"/>
    <x v="0"/>
    <x v="0"/>
    <s v="Brazil"/>
    <x v="35"/>
    <x v="10"/>
    <x v="0"/>
    <x v="27"/>
    <x v="0"/>
    <x v="1"/>
    <n v="3"/>
    <n v="7"/>
    <x v="0"/>
  </r>
  <r>
    <n v="502"/>
    <x v="4"/>
    <x v="1"/>
    <x v="1"/>
    <s v="China"/>
    <x v="4"/>
    <x v="11"/>
    <x v="1"/>
    <x v="12"/>
    <x v="3"/>
    <x v="0"/>
    <n v="2"/>
    <n v="5"/>
    <x v="0"/>
  </r>
  <r>
    <n v="503"/>
    <x v="2"/>
    <x v="0"/>
    <x v="0"/>
    <s v="Netherlands"/>
    <x v="26"/>
    <x v="0"/>
    <x v="1"/>
    <x v="33"/>
    <x v="1"/>
    <x v="1"/>
    <n v="2"/>
    <n v="4"/>
    <x v="0"/>
  </r>
  <r>
    <n v="504"/>
    <x v="1"/>
    <x v="1"/>
    <x v="1"/>
    <s v="New Zealand"/>
    <x v="19"/>
    <x v="0"/>
    <x v="0"/>
    <x v="1"/>
    <x v="3"/>
    <x v="0"/>
    <n v="3"/>
    <n v="6"/>
    <x v="0"/>
  </r>
  <r>
    <n v="505"/>
    <x v="0"/>
    <x v="0"/>
    <x v="0"/>
    <s v="Singapore"/>
    <x v="43"/>
    <x v="2"/>
    <x v="0"/>
    <x v="3"/>
    <x v="0"/>
    <x v="1"/>
    <n v="3"/>
    <n v="7"/>
    <x v="0"/>
  </r>
  <r>
    <n v="506"/>
    <x v="4"/>
    <x v="1"/>
    <x v="1"/>
    <s v="Malaysia"/>
    <x v="11"/>
    <x v="10"/>
    <x v="0"/>
    <x v="11"/>
    <x v="0"/>
    <x v="1"/>
    <n v="3"/>
    <n v="7"/>
    <x v="0"/>
  </r>
  <r>
    <n v="507"/>
    <x v="2"/>
    <x v="0"/>
    <x v="0"/>
    <s v="UAE"/>
    <x v="13"/>
    <x v="0"/>
    <x v="0"/>
    <x v="0"/>
    <x v="2"/>
    <x v="0"/>
    <n v="4"/>
    <n v="8"/>
    <x v="0"/>
  </r>
  <r>
    <n v="508"/>
    <x v="1"/>
    <x v="1"/>
    <x v="1"/>
    <s v="Poland"/>
    <x v="15"/>
    <x v="4"/>
    <x v="1"/>
    <x v="31"/>
    <x v="3"/>
    <x v="1"/>
    <n v="2"/>
    <n v="5"/>
    <x v="0"/>
  </r>
  <r>
    <n v="509"/>
    <x v="0"/>
    <x v="0"/>
    <x v="0"/>
    <s v="India"/>
    <x v="49"/>
    <x v="10"/>
    <x v="0"/>
    <x v="4"/>
    <x v="2"/>
    <x v="0"/>
    <n v="4"/>
    <n v="8"/>
    <x v="2"/>
  </r>
  <r>
    <n v="510"/>
    <x v="4"/>
    <x v="1"/>
    <x v="1"/>
    <s v="Canada"/>
    <x v="10"/>
    <x v="0"/>
    <x v="0"/>
    <x v="21"/>
    <x v="3"/>
    <x v="1"/>
    <n v="3"/>
    <n v="6"/>
    <x v="0"/>
  </r>
  <r>
    <n v="511"/>
    <x v="2"/>
    <x v="0"/>
    <x v="0"/>
    <s v="Brazil"/>
    <x v="25"/>
    <x v="0"/>
    <x v="0"/>
    <x v="26"/>
    <x v="0"/>
    <x v="1"/>
    <n v="3"/>
    <n v="7"/>
    <x v="0"/>
  </r>
  <r>
    <n v="512"/>
    <x v="1"/>
    <x v="1"/>
    <x v="1"/>
    <s v="China"/>
    <x v="27"/>
    <x v="11"/>
    <x v="1"/>
    <x v="31"/>
    <x v="3"/>
    <x v="0"/>
    <n v="2"/>
    <n v="5"/>
    <x v="0"/>
  </r>
  <r>
    <n v="513"/>
    <x v="0"/>
    <x v="0"/>
    <x v="0"/>
    <s v="Netherlands"/>
    <x v="14"/>
    <x v="2"/>
    <x v="1"/>
    <x v="34"/>
    <x v="1"/>
    <x v="1"/>
    <n v="2"/>
    <n v="4"/>
    <x v="0"/>
  </r>
  <r>
    <n v="514"/>
    <x v="4"/>
    <x v="1"/>
    <x v="1"/>
    <s v="New Zealand"/>
    <x v="38"/>
    <x v="0"/>
    <x v="0"/>
    <x v="29"/>
    <x v="3"/>
    <x v="0"/>
    <n v="3"/>
    <n v="6"/>
    <x v="0"/>
  </r>
  <r>
    <n v="515"/>
    <x v="2"/>
    <x v="0"/>
    <x v="0"/>
    <s v="Singapore"/>
    <x v="0"/>
    <x v="2"/>
    <x v="0"/>
    <x v="18"/>
    <x v="0"/>
    <x v="1"/>
    <n v="3"/>
    <n v="7"/>
    <x v="0"/>
  </r>
  <r>
    <n v="516"/>
    <x v="1"/>
    <x v="1"/>
    <x v="1"/>
    <s v="Malaysia"/>
    <x v="33"/>
    <x v="10"/>
    <x v="0"/>
    <x v="14"/>
    <x v="0"/>
    <x v="1"/>
    <n v="3"/>
    <n v="7"/>
    <x v="0"/>
  </r>
  <r>
    <n v="517"/>
    <x v="0"/>
    <x v="0"/>
    <x v="0"/>
    <s v="UAE"/>
    <x v="52"/>
    <x v="0"/>
    <x v="0"/>
    <x v="26"/>
    <x v="2"/>
    <x v="0"/>
    <n v="4"/>
    <n v="8"/>
    <x v="2"/>
  </r>
  <r>
    <n v="518"/>
    <x v="4"/>
    <x v="1"/>
    <x v="1"/>
    <s v="Poland"/>
    <x v="45"/>
    <x v="4"/>
    <x v="1"/>
    <x v="6"/>
    <x v="3"/>
    <x v="1"/>
    <n v="2"/>
    <n v="5"/>
    <x v="0"/>
  </r>
  <r>
    <n v="519"/>
    <x v="2"/>
    <x v="0"/>
    <x v="0"/>
    <s v="India"/>
    <x v="50"/>
    <x v="10"/>
    <x v="0"/>
    <x v="15"/>
    <x v="2"/>
    <x v="0"/>
    <n v="4"/>
    <n v="8"/>
    <x v="2"/>
  </r>
  <r>
    <n v="520"/>
    <x v="1"/>
    <x v="1"/>
    <x v="1"/>
    <s v="Canada"/>
    <x v="19"/>
    <x v="2"/>
    <x v="0"/>
    <x v="1"/>
    <x v="3"/>
    <x v="1"/>
    <n v="3"/>
    <n v="6"/>
    <x v="0"/>
  </r>
  <r>
    <n v="521"/>
    <x v="0"/>
    <x v="0"/>
    <x v="0"/>
    <s v="Brazil"/>
    <x v="2"/>
    <x v="10"/>
    <x v="0"/>
    <x v="0"/>
    <x v="0"/>
    <x v="1"/>
    <n v="3"/>
    <n v="7"/>
    <x v="0"/>
  </r>
  <r>
    <n v="522"/>
    <x v="4"/>
    <x v="1"/>
    <x v="1"/>
    <s v="China"/>
    <x v="44"/>
    <x v="11"/>
    <x v="1"/>
    <x v="6"/>
    <x v="3"/>
    <x v="0"/>
    <n v="2"/>
    <n v="5"/>
    <x v="0"/>
  </r>
  <r>
    <n v="523"/>
    <x v="2"/>
    <x v="0"/>
    <x v="0"/>
    <s v="Netherlands"/>
    <x v="30"/>
    <x v="0"/>
    <x v="1"/>
    <x v="36"/>
    <x v="1"/>
    <x v="1"/>
    <n v="2"/>
    <n v="4"/>
    <x v="0"/>
  </r>
  <r>
    <n v="524"/>
    <x v="1"/>
    <x v="1"/>
    <x v="1"/>
    <s v="New Zealand"/>
    <x v="4"/>
    <x v="4"/>
    <x v="0"/>
    <x v="30"/>
    <x v="3"/>
    <x v="0"/>
    <n v="3"/>
    <n v="6"/>
    <x v="0"/>
  </r>
  <r>
    <n v="525"/>
    <x v="0"/>
    <x v="0"/>
    <x v="0"/>
    <s v="Singapore"/>
    <x v="20"/>
    <x v="2"/>
    <x v="0"/>
    <x v="11"/>
    <x v="0"/>
    <x v="1"/>
    <n v="3"/>
    <n v="7"/>
    <x v="0"/>
  </r>
  <r>
    <n v="526"/>
    <x v="4"/>
    <x v="1"/>
    <x v="1"/>
    <s v="Malaysia"/>
    <x v="23"/>
    <x v="10"/>
    <x v="0"/>
    <x v="20"/>
    <x v="0"/>
    <x v="1"/>
    <n v="3"/>
    <n v="7"/>
    <x v="0"/>
  </r>
  <r>
    <n v="527"/>
    <x v="2"/>
    <x v="0"/>
    <x v="0"/>
    <s v="UAE"/>
    <x v="51"/>
    <x v="0"/>
    <x v="0"/>
    <x v="27"/>
    <x v="2"/>
    <x v="0"/>
    <n v="4"/>
    <n v="8"/>
    <x v="2"/>
  </r>
  <r>
    <n v="528"/>
    <x v="1"/>
    <x v="1"/>
    <x v="1"/>
    <s v="Poland"/>
    <x v="8"/>
    <x v="4"/>
    <x v="1"/>
    <x v="32"/>
    <x v="3"/>
    <x v="1"/>
    <n v="2"/>
    <n v="5"/>
    <x v="0"/>
  </r>
  <r>
    <n v="529"/>
    <x v="0"/>
    <x v="0"/>
    <x v="0"/>
    <s v="India"/>
    <x v="48"/>
    <x v="10"/>
    <x v="0"/>
    <x v="8"/>
    <x v="2"/>
    <x v="0"/>
    <n v="4"/>
    <n v="8"/>
    <x v="2"/>
  </r>
  <r>
    <n v="530"/>
    <x v="4"/>
    <x v="1"/>
    <x v="1"/>
    <s v="Canada"/>
    <x v="38"/>
    <x v="0"/>
    <x v="0"/>
    <x v="29"/>
    <x v="3"/>
    <x v="1"/>
    <n v="3"/>
    <n v="6"/>
    <x v="0"/>
  </r>
  <r>
    <n v="531"/>
    <x v="2"/>
    <x v="0"/>
    <x v="0"/>
    <s v="Brazil"/>
    <x v="29"/>
    <x v="2"/>
    <x v="0"/>
    <x v="20"/>
    <x v="0"/>
    <x v="1"/>
    <n v="3"/>
    <n v="7"/>
    <x v="0"/>
  </r>
  <r>
    <n v="532"/>
    <x v="1"/>
    <x v="1"/>
    <x v="1"/>
    <s v="China"/>
    <x v="15"/>
    <x v="11"/>
    <x v="1"/>
    <x v="32"/>
    <x v="3"/>
    <x v="0"/>
    <n v="2"/>
    <n v="5"/>
    <x v="0"/>
  </r>
  <r>
    <n v="533"/>
    <x v="0"/>
    <x v="0"/>
    <x v="0"/>
    <s v="Netherlands"/>
    <x v="18"/>
    <x v="0"/>
    <x v="1"/>
    <x v="38"/>
    <x v="1"/>
    <x v="1"/>
    <n v="2"/>
    <n v="4"/>
    <x v="1"/>
  </r>
  <r>
    <n v="534"/>
    <x v="4"/>
    <x v="1"/>
    <x v="1"/>
    <s v="New Zealand"/>
    <x v="27"/>
    <x v="4"/>
    <x v="0"/>
    <x v="12"/>
    <x v="3"/>
    <x v="0"/>
    <n v="3"/>
    <n v="6"/>
    <x v="0"/>
  </r>
  <r>
    <n v="535"/>
    <x v="2"/>
    <x v="0"/>
    <x v="0"/>
    <s v="Singapore"/>
    <x v="31"/>
    <x v="2"/>
    <x v="0"/>
    <x v="14"/>
    <x v="0"/>
    <x v="1"/>
    <n v="3"/>
    <n v="7"/>
    <x v="0"/>
  </r>
  <r>
    <n v="536"/>
    <x v="1"/>
    <x v="1"/>
    <x v="1"/>
    <s v="Malaysia"/>
    <x v="7"/>
    <x v="10"/>
    <x v="0"/>
    <x v="0"/>
    <x v="0"/>
    <x v="1"/>
    <n v="3"/>
    <n v="7"/>
    <x v="0"/>
  </r>
  <r>
    <n v="537"/>
    <x v="0"/>
    <x v="0"/>
    <x v="0"/>
    <s v="UAE"/>
    <x v="49"/>
    <x v="0"/>
    <x v="0"/>
    <x v="7"/>
    <x v="2"/>
    <x v="0"/>
    <n v="4"/>
    <n v="8"/>
    <x v="2"/>
  </r>
  <r>
    <n v="538"/>
    <x v="4"/>
    <x v="1"/>
    <x v="1"/>
    <s v="Poland"/>
    <x v="36"/>
    <x v="4"/>
    <x v="1"/>
    <x v="33"/>
    <x v="3"/>
    <x v="1"/>
    <n v="2"/>
    <n v="5"/>
    <x v="0"/>
  </r>
  <r>
    <n v="539"/>
    <x v="2"/>
    <x v="0"/>
    <x v="0"/>
    <s v="India"/>
    <x v="53"/>
    <x v="10"/>
    <x v="0"/>
    <x v="13"/>
    <x v="2"/>
    <x v="0"/>
    <n v="4"/>
    <n v="8"/>
    <x v="2"/>
  </r>
  <r>
    <n v="540"/>
    <x v="1"/>
    <x v="1"/>
    <x v="1"/>
    <s v="Canada"/>
    <x v="4"/>
    <x v="2"/>
    <x v="0"/>
    <x v="30"/>
    <x v="3"/>
    <x v="1"/>
    <n v="3"/>
    <n v="6"/>
    <x v="0"/>
  </r>
  <r>
    <n v="541"/>
    <x v="0"/>
    <x v="0"/>
    <x v="0"/>
    <s v="Brazil"/>
    <x v="7"/>
    <x v="10"/>
    <x v="0"/>
    <x v="14"/>
    <x v="0"/>
    <x v="1"/>
    <n v="3"/>
    <n v="7"/>
    <x v="0"/>
  </r>
  <r>
    <n v="542"/>
    <x v="4"/>
    <x v="1"/>
    <x v="1"/>
    <s v="China"/>
    <x v="45"/>
    <x v="11"/>
    <x v="1"/>
    <x v="33"/>
    <x v="3"/>
    <x v="0"/>
    <n v="2"/>
    <n v="5"/>
    <x v="0"/>
  </r>
  <r>
    <n v="543"/>
    <x v="2"/>
    <x v="0"/>
    <x v="0"/>
    <s v="Netherlands"/>
    <x v="46"/>
    <x v="0"/>
    <x v="1"/>
    <x v="40"/>
    <x v="1"/>
    <x v="1"/>
    <n v="2"/>
    <n v="4"/>
    <x v="1"/>
  </r>
  <r>
    <n v="544"/>
    <x v="1"/>
    <x v="1"/>
    <x v="1"/>
    <s v="New Zealand"/>
    <x v="44"/>
    <x v="0"/>
    <x v="0"/>
    <x v="31"/>
    <x v="3"/>
    <x v="0"/>
    <n v="3"/>
    <n v="6"/>
    <x v="0"/>
  </r>
  <r>
    <n v="545"/>
    <x v="0"/>
    <x v="0"/>
    <x v="0"/>
    <s v="Singapore"/>
    <x v="11"/>
    <x v="2"/>
    <x v="0"/>
    <x v="20"/>
    <x v="0"/>
    <x v="1"/>
    <n v="3"/>
    <n v="7"/>
    <x v="0"/>
  </r>
  <r>
    <n v="546"/>
    <x v="4"/>
    <x v="1"/>
    <x v="1"/>
    <s v="Malaysia"/>
    <x v="29"/>
    <x v="10"/>
    <x v="0"/>
    <x v="26"/>
    <x v="0"/>
    <x v="1"/>
    <n v="3"/>
    <n v="7"/>
    <x v="0"/>
  </r>
  <r>
    <n v="547"/>
    <x v="2"/>
    <x v="0"/>
    <x v="0"/>
    <s v="UAE"/>
    <x v="50"/>
    <x v="0"/>
    <x v="0"/>
    <x v="28"/>
    <x v="2"/>
    <x v="0"/>
    <n v="4"/>
    <n v="8"/>
    <x v="2"/>
  </r>
  <r>
    <n v="548"/>
    <x v="1"/>
    <x v="1"/>
    <x v="1"/>
    <s v="Poland"/>
    <x v="26"/>
    <x v="4"/>
    <x v="1"/>
    <x v="34"/>
    <x v="3"/>
    <x v="1"/>
    <n v="2"/>
    <n v="5"/>
    <x v="0"/>
  </r>
  <r>
    <n v="549"/>
    <x v="0"/>
    <x v="0"/>
    <x v="0"/>
    <s v="India"/>
    <x v="5"/>
    <x v="10"/>
    <x v="0"/>
    <x v="25"/>
    <x v="2"/>
    <x v="0"/>
    <n v="4"/>
    <n v="8"/>
    <x v="2"/>
  </r>
  <r>
    <n v="550"/>
    <x v="4"/>
    <x v="1"/>
    <x v="1"/>
    <s v="Canada"/>
    <x v="27"/>
    <x v="0"/>
    <x v="0"/>
    <x v="12"/>
    <x v="3"/>
    <x v="1"/>
    <n v="3"/>
    <n v="6"/>
    <x v="0"/>
  </r>
  <r>
    <n v="551"/>
    <x v="2"/>
    <x v="0"/>
    <x v="0"/>
    <s v="Brazil"/>
    <x v="23"/>
    <x v="2"/>
    <x v="0"/>
    <x v="11"/>
    <x v="0"/>
    <x v="1"/>
    <n v="3"/>
    <n v="7"/>
    <x v="0"/>
  </r>
  <r>
    <n v="552"/>
    <x v="1"/>
    <x v="1"/>
    <x v="1"/>
    <s v="China"/>
    <x v="8"/>
    <x v="11"/>
    <x v="1"/>
    <x v="34"/>
    <x v="3"/>
    <x v="0"/>
    <n v="2"/>
    <n v="5"/>
    <x v="0"/>
  </r>
  <r>
    <n v="553"/>
    <x v="0"/>
    <x v="0"/>
    <x v="0"/>
    <s v="Netherlands"/>
    <x v="9"/>
    <x v="0"/>
    <x v="1"/>
    <x v="43"/>
    <x v="1"/>
    <x v="1"/>
    <n v="2"/>
    <n v="4"/>
    <x v="1"/>
  </r>
  <r>
    <n v="554"/>
    <x v="4"/>
    <x v="1"/>
    <x v="1"/>
    <s v="New Zealand"/>
    <x v="15"/>
    <x v="4"/>
    <x v="0"/>
    <x v="6"/>
    <x v="3"/>
    <x v="0"/>
    <n v="3"/>
    <n v="6"/>
    <x v="0"/>
  </r>
  <r>
    <n v="555"/>
    <x v="2"/>
    <x v="0"/>
    <x v="0"/>
    <s v="Singapore"/>
    <x v="33"/>
    <x v="2"/>
    <x v="0"/>
    <x v="0"/>
    <x v="0"/>
    <x v="1"/>
    <n v="3"/>
    <n v="7"/>
    <x v="0"/>
  </r>
  <r>
    <n v="556"/>
    <x v="1"/>
    <x v="1"/>
    <x v="1"/>
    <s v="Malaysia"/>
    <x v="2"/>
    <x v="10"/>
    <x v="0"/>
    <x v="27"/>
    <x v="0"/>
    <x v="1"/>
    <n v="3"/>
    <n v="7"/>
    <x v="0"/>
  </r>
  <r>
    <n v="557"/>
    <x v="0"/>
    <x v="0"/>
    <x v="0"/>
    <s v="UAE"/>
    <x v="48"/>
    <x v="0"/>
    <x v="0"/>
    <x v="4"/>
    <x v="2"/>
    <x v="0"/>
    <n v="4"/>
    <n v="8"/>
    <x v="2"/>
  </r>
  <r>
    <n v="558"/>
    <x v="4"/>
    <x v="1"/>
    <x v="1"/>
    <s v="Poland"/>
    <x v="14"/>
    <x v="4"/>
    <x v="1"/>
    <x v="36"/>
    <x v="3"/>
    <x v="1"/>
    <n v="2"/>
    <n v="5"/>
    <x v="0"/>
  </r>
  <r>
    <n v="559"/>
    <x v="2"/>
    <x v="0"/>
    <x v="0"/>
    <s v="India"/>
    <x v="54"/>
    <x v="10"/>
    <x v="0"/>
    <x v="10"/>
    <x v="2"/>
    <x v="0"/>
    <n v="4"/>
    <n v="8"/>
    <x v="2"/>
  </r>
  <r>
    <n v="560"/>
    <x v="1"/>
    <x v="1"/>
    <x v="1"/>
    <s v="Canada"/>
    <x v="44"/>
    <x v="2"/>
    <x v="0"/>
    <x v="31"/>
    <x v="3"/>
    <x v="1"/>
    <n v="3"/>
    <n v="6"/>
    <x v="0"/>
  </r>
  <r>
    <n v="561"/>
    <x v="0"/>
    <x v="0"/>
    <x v="0"/>
    <s v="Brazil"/>
    <x v="33"/>
    <x v="10"/>
    <x v="0"/>
    <x v="18"/>
    <x v="0"/>
    <x v="1"/>
    <n v="3"/>
    <n v="7"/>
    <x v="0"/>
  </r>
  <r>
    <n v="562"/>
    <x v="4"/>
    <x v="1"/>
    <x v="1"/>
    <s v="China"/>
    <x v="36"/>
    <x v="11"/>
    <x v="1"/>
    <x v="36"/>
    <x v="3"/>
    <x v="0"/>
    <n v="2"/>
    <n v="5"/>
    <x v="0"/>
  </r>
  <r>
    <n v="563"/>
    <x v="2"/>
    <x v="0"/>
    <x v="0"/>
    <s v="Netherlands"/>
    <x v="24"/>
    <x v="0"/>
    <x v="1"/>
    <x v="45"/>
    <x v="1"/>
    <x v="1"/>
    <n v="2"/>
    <n v="4"/>
    <x v="1"/>
  </r>
  <r>
    <n v="564"/>
    <x v="1"/>
    <x v="1"/>
    <x v="1"/>
    <s v="New Zealand"/>
    <x v="45"/>
    <x v="0"/>
    <x v="0"/>
    <x v="32"/>
    <x v="3"/>
    <x v="0"/>
    <n v="3"/>
    <n v="6"/>
    <x v="0"/>
  </r>
  <r>
    <n v="565"/>
    <x v="0"/>
    <x v="0"/>
    <x v="0"/>
    <s v="Singapore"/>
    <x v="23"/>
    <x v="2"/>
    <x v="0"/>
    <x v="26"/>
    <x v="0"/>
    <x v="1"/>
    <n v="3"/>
    <n v="7"/>
    <x v="0"/>
  </r>
  <r>
    <n v="566"/>
    <x v="4"/>
    <x v="1"/>
    <x v="1"/>
    <s v="Malaysia"/>
    <x v="25"/>
    <x v="10"/>
    <x v="0"/>
    <x v="7"/>
    <x v="0"/>
    <x v="1"/>
    <n v="3"/>
    <n v="7"/>
    <x v="0"/>
  </r>
  <r>
    <n v="567"/>
    <x v="2"/>
    <x v="0"/>
    <x v="0"/>
    <s v="UAE"/>
    <x v="53"/>
    <x v="0"/>
    <x v="0"/>
    <x v="15"/>
    <x v="2"/>
    <x v="0"/>
    <n v="4"/>
    <n v="8"/>
    <x v="2"/>
  </r>
  <r>
    <n v="568"/>
    <x v="1"/>
    <x v="1"/>
    <x v="1"/>
    <s v="Poland"/>
    <x v="30"/>
    <x v="4"/>
    <x v="1"/>
    <x v="38"/>
    <x v="3"/>
    <x v="1"/>
    <n v="2"/>
    <n v="5"/>
    <x v="0"/>
  </r>
  <r>
    <n v="569"/>
    <x v="0"/>
    <x v="0"/>
    <x v="0"/>
    <s v="India"/>
    <x v="55"/>
    <x v="10"/>
    <x v="0"/>
    <x v="17"/>
    <x v="2"/>
    <x v="0"/>
    <n v="4"/>
    <n v="8"/>
    <x v="2"/>
  </r>
  <r>
    <n v="570"/>
    <x v="4"/>
    <x v="1"/>
    <x v="1"/>
    <s v="Canada"/>
    <x v="15"/>
    <x v="0"/>
    <x v="0"/>
    <x v="6"/>
    <x v="3"/>
    <x v="1"/>
    <n v="3"/>
    <n v="6"/>
    <x v="0"/>
  </r>
  <r>
    <n v="571"/>
    <x v="2"/>
    <x v="0"/>
    <x v="0"/>
    <s v="Spain"/>
    <x v="25"/>
    <x v="0"/>
    <x v="0"/>
    <x v="9"/>
    <x v="2"/>
    <x v="1"/>
    <n v="4"/>
    <n v="7"/>
    <x v="0"/>
  </r>
  <r>
    <n v="572"/>
    <x v="5"/>
    <x v="1"/>
    <x v="1"/>
    <s v="Denmark"/>
    <x v="26"/>
    <x v="1"/>
    <x v="1"/>
    <x v="12"/>
    <x v="1"/>
    <x v="0"/>
    <n v="2"/>
    <n v="4"/>
    <x v="0"/>
  </r>
  <r>
    <n v="573"/>
    <x v="0"/>
    <x v="0"/>
    <x v="0"/>
    <s v="Ireland"/>
    <x v="11"/>
    <x v="2"/>
    <x v="0"/>
    <x v="11"/>
    <x v="0"/>
    <x v="1"/>
    <n v="4"/>
    <n v="8"/>
    <x v="0"/>
  </r>
  <r>
    <n v="574"/>
    <x v="1"/>
    <x v="1"/>
    <x v="1"/>
    <s v="India"/>
    <x v="5"/>
    <x v="4"/>
    <x v="0"/>
    <x v="15"/>
    <x v="4"/>
    <x v="1"/>
    <n v="5"/>
    <n v="9"/>
    <x v="2"/>
  </r>
  <r>
    <n v="575"/>
    <x v="4"/>
    <x v="0"/>
    <x v="0"/>
    <s v="Switzerland"/>
    <x v="15"/>
    <x v="0"/>
    <x v="1"/>
    <x v="1"/>
    <x v="3"/>
    <x v="0"/>
    <n v="2"/>
    <n v="5"/>
    <x v="0"/>
  </r>
  <r>
    <n v="576"/>
    <x v="6"/>
    <x v="1"/>
    <x v="1"/>
    <s v="Turkey"/>
    <x v="49"/>
    <x v="2"/>
    <x v="0"/>
    <x v="7"/>
    <x v="2"/>
    <x v="1"/>
    <n v="4"/>
    <n v="8"/>
    <x v="2"/>
  </r>
  <r>
    <n v="577"/>
    <x v="2"/>
    <x v="0"/>
    <x v="0"/>
    <s v="USA"/>
    <x v="29"/>
    <x v="0"/>
    <x v="0"/>
    <x v="14"/>
    <x v="0"/>
    <x v="0"/>
    <n v="3"/>
    <n v="7"/>
    <x v="0"/>
  </r>
  <r>
    <n v="578"/>
    <x v="1"/>
    <x v="1"/>
    <x v="1"/>
    <s v="Mexico"/>
    <x v="13"/>
    <x v="4"/>
    <x v="0"/>
    <x v="28"/>
    <x v="2"/>
    <x v="1"/>
    <n v="4"/>
    <n v="8"/>
    <x v="0"/>
  </r>
  <r>
    <n v="579"/>
    <x v="0"/>
    <x v="0"/>
    <x v="0"/>
    <s v="France"/>
    <x v="19"/>
    <x v="1"/>
    <x v="1"/>
    <x v="21"/>
    <x v="3"/>
    <x v="1"/>
    <n v="2"/>
    <n v="5"/>
    <x v="0"/>
  </r>
  <r>
    <n v="580"/>
    <x v="5"/>
    <x v="1"/>
    <x v="1"/>
    <s v="Canada"/>
    <x v="0"/>
    <x v="0"/>
    <x v="0"/>
    <x v="3"/>
    <x v="0"/>
    <x v="0"/>
    <n v="3"/>
    <n v="6"/>
    <x v="0"/>
  </r>
  <r>
    <n v="581"/>
    <x v="4"/>
    <x v="0"/>
    <x v="0"/>
    <s v="UK"/>
    <x v="40"/>
    <x v="2"/>
    <x v="0"/>
    <x v="26"/>
    <x v="2"/>
    <x v="1"/>
    <n v="4"/>
    <n v="8"/>
    <x v="0"/>
  </r>
  <r>
    <n v="582"/>
    <x v="6"/>
    <x v="1"/>
    <x v="1"/>
    <s v="Italy"/>
    <x v="22"/>
    <x v="4"/>
    <x v="1"/>
    <x v="16"/>
    <x v="3"/>
    <x v="0"/>
    <n v="2"/>
    <n v="5"/>
    <x v="0"/>
  </r>
  <r>
    <n v="583"/>
    <x v="2"/>
    <x v="0"/>
    <x v="0"/>
    <s v="Russia"/>
    <x v="51"/>
    <x v="0"/>
    <x v="0"/>
    <x v="4"/>
    <x v="2"/>
    <x v="1"/>
    <n v="4"/>
    <n v="8"/>
    <x v="2"/>
  </r>
  <r>
    <n v="584"/>
    <x v="1"/>
    <x v="1"/>
    <x v="1"/>
    <s v="China"/>
    <x v="7"/>
    <x v="11"/>
    <x v="0"/>
    <x v="0"/>
    <x v="0"/>
    <x v="0"/>
    <n v="3"/>
    <n v="7"/>
    <x v="0"/>
  </r>
  <r>
    <n v="585"/>
    <x v="0"/>
    <x v="0"/>
    <x v="0"/>
    <s v="Japan"/>
    <x v="4"/>
    <x v="1"/>
    <x v="1"/>
    <x v="29"/>
    <x v="1"/>
    <x v="1"/>
    <n v="2"/>
    <n v="4"/>
    <x v="0"/>
  </r>
  <r>
    <n v="586"/>
    <x v="5"/>
    <x v="1"/>
    <x v="1"/>
    <s v="Poland"/>
    <x v="47"/>
    <x v="4"/>
    <x v="0"/>
    <x v="27"/>
    <x v="2"/>
    <x v="1"/>
    <n v="4"/>
    <n v="8"/>
    <x v="0"/>
  </r>
  <r>
    <n v="587"/>
    <x v="4"/>
    <x v="0"/>
    <x v="0"/>
    <s v="Finland"/>
    <x v="45"/>
    <x v="0"/>
    <x v="1"/>
    <x v="30"/>
    <x v="3"/>
    <x v="0"/>
    <n v="2"/>
    <n v="5"/>
    <x v="0"/>
  </r>
  <r>
    <n v="588"/>
    <x v="6"/>
    <x v="1"/>
    <x v="1"/>
    <s v="Spain"/>
    <x v="52"/>
    <x v="2"/>
    <x v="0"/>
    <x v="7"/>
    <x v="2"/>
    <x v="1"/>
    <n v="4"/>
    <n v="8"/>
    <x v="2"/>
  </r>
  <r>
    <n v="589"/>
    <x v="2"/>
    <x v="0"/>
    <x v="0"/>
    <s v="Denmark"/>
    <x v="27"/>
    <x v="0"/>
    <x v="1"/>
    <x v="21"/>
    <x v="3"/>
    <x v="0"/>
    <n v="2"/>
    <n v="5"/>
    <x v="0"/>
  </r>
  <r>
    <n v="590"/>
    <x v="1"/>
    <x v="1"/>
    <x v="1"/>
    <s v="Ireland"/>
    <x v="23"/>
    <x v="1"/>
    <x v="0"/>
    <x v="11"/>
    <x v="0"/>
    <x v="1"/>
    <n v="3"/>
    <n v="7"/>
    <x v="0"/>
  </r>
  <r>
    <n v="591"/>
    <x v="0"/>
    <x v="0"/>
    <x v="0"/>
    <s v="India"/>
    <x v="48"/>
    <x v="0"/>
    <x v="0"/>
    <x v="8"/>
    <x v="4"/>
    <x v="1"/>
    <n v="5"/>
    <n v="9"/>
    <x v="2"/>
  </r>
  <r>
    <n v="592"/>
    <x v="5"/>
    <x v="1"/>
    <x v="1"/>
    <s v="Switzerland"/>
    <x v="44"/>
    <x v="4"/>
    <x v="1"/>
    <x v="1"/>
    <x v="3"/>
    <x v="0"/>
    <n v="2"/>
    <n v="5"/>
    <x v="0"/>
  </r>
  <r>
    <n v="593"/>
    <x v="4"/>
    <x v="0"/>
    <x v="0"/>
    <s v="Turkey"/>
    <x v="50"/>
    <x v="2"/>
    <x v="0"/>
    <x v="28"/>
    <x v="2"/>
    <x v="1"/>
    <n v="4"/>
    <n v="8"/>
    <x v="2"/>
  </r>
  <r>
    <n v="594"/>
    <x v="6"/>
    <x v="1"/>
    <x v="1"/>
    <s v="USA"/>
    <x v="33"/>
    <x v="0"/>
    <x v="0"/>
    <x v="18"/>
    <x v="0"/>
    <x v="0"/>
    <n v="3"/>
    <n v="7"/>
    <x v="0"/>
  </r>
  <r>
    <n v="595"/>
    <x v="2"/>
    <x v="0"/>
    <x v="0"/>
    <s v="Mexico"/>
    <x v="35"/>
    <x v="4"/>
    <x v="0"/>
    <x v="27"/>
    <x v="2"/>
    <x v="1"/>
    <n v="4"/>
    <n v="8"/>
    <x v="0"/>
  </r>
  <r>
    <n v="596"/>
    <x v="4"/>
    <x v="1"/>
    <x v="0"/>
    <s v="France"/>
    <x v="7"/>
    <x v="0"/>
    <x v="0"/>
    <x v="14"/>
    <x v="0"/>
    <x v="1"/>
    <n v="3"/>
    <n v="7"/>
    <x v="0"/>
  </r>
  <r>
    <n v="597"/>
    <x v="5"/>
    <x v="0"/>
    <x v="1"/>
    <s v="Canada"/>
    <x v="22"/>
    <x v="2"/>
    <x v="1"/>
    <x v="16"/>
    <x v="3"/>
    <x v="0"/>
    <n v="2"/>
    <n v="5"/>
    <x v="0"/>
  </r>
  <r>
    <n v="598"/>
    <x v="2"/>
    <x v="1"/>
    <x v="0"/>
    <s v="UK"/>
    <x v="47"/>
    <x v="4"/>
    <x v="0"/>
    <x v="7"/>
    <x v="2"/>
    <x v="1"/>
    <n v="4"/>
    <n v="8"/>
    <x v="0"/>
  </r>
  <r>
    <n v="599"/>
    <x v="1"/>
    <x v="0"/>
    <x v="1"/>
    <s v="Italy"/>
    <x v="43"/>
    <x v="1"/>
    <x v="1"/>
    <x v="24"/>
    <x v="3"/>
    <x v="0"/>
    <n v="2"/>
    <n v="5"/>
    <x v="0"/>
  </r>
  <r>
    <n v="600"/>
    <x v="0"/>
    <x v="1"/>
    <x v="0"/>
    <s v="Russia"/>
    <x v="51"/>
    <x v="0"/>
    <x v="0"/>
    <x v="4"/>
    <x v="4"/>
    <x v="1"/>
    <n v="4"/>
    <n v="8"/>
    <x v="2"/>
  </r>
  <r>
    <n v="601"/>
    <x v="6"/>
    <x v="0"/>
    <x v="1"/>
    <s v="China"/>
    <x v="11"/>
    <x v="11"/>
    <x v="0"/>
    <x v="11"/>
    <x v="0"/>
    <x v="0"/>
    <n v="3"/>
    <n v="7"/>
    <x v="0"/>
  </r>
  <r>
    <n v="602"/>
    <x v="4"/>
    <x v="1"/>
    <x v="0"/>
    <s v="Japan"/>
    <x v="44"/>
    <x v="1"/>
    <x v="1"/>
    <x v="29"/>
    <x v="1"/>
    <x v="1"/>
    <n v="2"/>
    <n v="4"/>
    <x v="0"/>
  </r>
  <r>
    <n v="603"/>
    <x v="5"/>
    <x v="0"/>
    <x v="1"/>
    <s v="Poland"/>
    <x v="35"/>
    <x v="0"/>
    <x v="0"/>
    <x v="26"/>
    <x v="2"/>
    <x v="1"/>
    <n v="4"/>
    <n v="8"/>
    <x v="0"/>
  </r>
  <r>
    <n v="604"/>
    <x v="2"/>
    <x v="1"/>
    <x v="0"/>
    <s v="Finland"/>
    <x v="4"/>
    <x v="4"/>
    <x v="1"/>
    <x v="21"/>
    <x v="3"/>
    <x v="0"/>
    <n v="2"/>
    <n v="5"/>
    <x v="0"/>
  </r>
  <r>
    <n v="605"/>
    <x v="1"/>
    <x v="0"/>
    <x v="1"/>
    <s v="Spain"/>
    <x v="40"/>
    <x v="2"/>
    <x v="0"/>
    <x v="27"/>
    <x v="2"/>
    <x v="1"/>
    <n v="4"/>
    <n v="8"/>
    <x v="0"/>
  </r>
  <r>
    <n v="606"/>
    <x v="0"/>
    <x v="1"/>
    <x v="0"/>
    <s v="Denmark"/>
    <x v="19"/>
    <x v="0"/>
    <x v="1"/>
    <x v="9"/>
    <x v="3"/>
    <x v="0"/>
    <n v="2"/>
    <n v="5"/>
    <x v="0"/>
  </r>
  <r>
    <n v="607"/>
    <x v="6"/>
    <x v="0"/>
    <x v="1"/>
    <s v="Ireland"/>
    <x v="29"/>
    <x v="1"/>
    <x v="0"/>
    <x v="20"/>
    <x v="0"/>
    <x v="1"/>
    <n v="3"/>
    <n v="7"/>
    <x v="0"/>
  </r>
  <r>
    <n v="608"/>
    <x v="4"/>
    <x v="1"/>
    <x v="0"/>
    <s v="India"/>
    <x v="53"/>
    <x v="4"/>
    <x v="0"/>
    <x v="13"/>
    <x v="4"/>
    <x v="1"/>
    <n v="5"/>
    <n v="9"/>
    <x v="2"/>
  </r>
  <r>
    <n v="609"/>
    <x v="5"/>
    <x v="0"/>
    <x v="1"/>
    <s v="Switzerland"/>
    <x v="27"/>
    <x v="0"/>
    <x v="1"/>
    <x v="21"/>
    <x v="3"/>
    <x v="0"/>
    <n v="2"/>
    <n v="5"/>
    <x v="0"/>
  </r>
  <r>
    <n v="610"/>
    <x v="2"/>
    <x v="1"/>
    <x v="0"/>
    <s v="Turkey"/>
    <x v="52"/>
    <x v="2"/>
    <x v="0"/>
    <x v="7"/>
    <x v="2"/>
    <x v="1"/>
    <n v="4"/>
    <n v="8"/>
    <x v="2"/>
  </r>
  <r>
    <n v="611"/>
    <x v="1"/>
    <x v="0"/>
    <x v="1"/>
    <s v="USA"/>
    <x v="31"/>
    <x v="0"/>
    <x v="0"/>
    <x v="18"/>
    <x v="0"/>
    <x v="0"/>
    <n v="3"/>
    <n v="7"/>
    <x v="0"/>
  </r>
  <r>
    <n v="612"/>
    <x v="0"/>
    <x v="1"/>
    <x v="0"/>
    <s v="Mexico"/>
    <x v="13"/>
    <x v="4"/>
    <x v="0"/>
    <x v="28"/>
    <x v="2"/>
    <x v="1"/>
    <n v="4"/>
    <n v="8"/>
    <x v="0"/>
  </r>
  <r>
    <n v="613"/>
    <x v="6"/>
    <x v="0"/>
    <x v="1"/>
    <s v="France"/>
    <x v="10"/>
    <x v="1"/>
    <x v="1"/>
    <x v="16"/>
    <x v="3"/>
    <x v="0"/>
    <n v="2"/>
    <n v="5"/>
    <x v="0"/>
  </r>
  <r>
    <n v="614"/>
    <x v="4"/>
    <x v="1"/>
    <x v="0"/>
    <s v="Canada"/>
    <x v="23"/>
    <x v="0"/>
    <x v="0"/>
    <x v="14"/>
    <x v="0"/>
    <x v="1"/>
    <n v="3"/>
    <n v="7"/>
    <x v="0"/>
  </r>
  <r>
    <n v="615"/>
    <x v="5"/>
    <x v="0"/>
    <x v="1"/>
    <s v="UK"/>
    <x v="25"/>
    <x v="2"/>
    <x v="0"/>
    <x v="26"/>
    <x v="2"/>
    <x v="1"/>
    <n v="4"/>
    <n v="8"/>
    <x v="0"/>
  </r>
  <r>
    <n v="616"/>
    <x v="2"/>
    <x v="1"/>
    <x v="0"/>
    <s v="Italy"/>
    <x v="38"/>
    <x v="4"/>
    <x v="1"/>
    <x v="9"/>
    <x v="3"/>
    <x v="0"/>
    <n v="2"/>
    <n v="5"/>
    <x v="0"/>
  </r>
  <r>
    <n v="617"/>
    <x v="1"/>
    <x v="0"/>
    <x v="1"/>
    <s v="Russia"/>
    <x v="49"/>
    <x v="0"/>
    <x v="0"/>
    <x v="15"/>
    <x v="4"/>
    <x v="1"/>
    <n v="5"/>
    <n v="9"/>
    <x v="2"/>
  </r>
  <r>
    <n v="618"/>
    <x v="0"/>
    <x v="1"/>
    <x v="0"/>
    <s v="China"/>
    <x v="33"/>
    <x v="11"/>
    <x v="0"/>
    <x v="11"/>
    <x v="0"/>
    <x v="0"/>
    <n v="3"/>
    <n v="7"/>
    <x v="0"/>
  </r>
  <r>
    <n v="619"/>
    <x v="6"/>
    <x v="0"/>
    <x v="1"/>
    <s v="Japan"/>
    <x v="15"/>
    <x v="1"/>
    <x v="1"/>
    <x v="1"/>
    <x v="1"/>
    <x v="1"/>
    <n v="2"/>
    <n v="4"/>
    <x v="0"/>
  </r>
  <r>
    <n v="620"/>
    <x v="4"/>
    <x v="1"/>
    <x v="0"/>
    <s v="Poland"/>
    <x v="40"/>
    <x v="2"/>
    <x v="0"/>
    <x v="27"/>
    <x v="2"/>
    <x v="1"/>
    <n v="4"/>
    <n v="8"/>
    <x v="0"/>
  </r>
  <r>
    <n v="621"/>
    <x v="5"/>
    <x v="0"/>
    <x v="1"/>
    <s v="Finland"/>
    <x v="27"/>
    <x v="0"/>
    <x v="1"/>
    <x v="21"/>
    <x v="3"/>
    <x v="0"/>
    <n v="2"/>
    <n v="5"/>
    <x v="0"/>
  </r>
  <r>
    <n v="622"/>
    <x v="2"/>
    <x v="1"/>
    <x v="0"/>
    <s v="Spain"/>
    <x v="13"/>
    <x v="4"/>
    <x v="0"/>
    <x v="7"/>
    <x v="2"/>
    <x v="1"/>
    <n v="4"/>
    <n v="8"/>
    <x v="0"/>
  </r>
  <r>
    <n v="623"/>
    <x v="1"/>
    <x v="0"/>
    <x v="1"/>
    <s v="Denmark"/>
    <x v="38"/>
    <x v="1"/>
    <x v="1"/>
    <x v="16"/>
    <x v="3"/>
    <x v="0"/>
    <n v="2"/>
    <n v="5"/>
    <x v="0"/>
  </r>
  <r>
    <n v="624"/>
    <x v="0"/>
    <x v="1"/>
    <x v="0"/>
    <s v="Ireland"/>
    <x v="7"/>
    <x v="0"/>
    <x v="0"/>
    <x v="20"/>
    <x v="0"/>
    <x v="1"/>
    <n v="3"/>
    <n v="7"/>
    <x v="0"/>
  </r>
  <r>
    <n v="625"/>
    <x v="6"/>
    <x v="0"/>
    <x v="1"/>
    <s v="India"/>
    <x v="48"/>
    <x v="2"/>
    <x v="0"/>
    <x v="8"/>
    <x v="4"/>
    <x v="1"/>
    <n v="5"/>
    <n v="9"/>
    <x v="2"/>
  </r>
  <r>
    <n v="626"/>
    <x v="4"/>
    <x v="1"/>
    <x v="0"/>
    <s v="Switzerland"/>
    <x v="4"/>
    <x v="4"/>
    <x v="1"/>
    <x v="16"/>
    <x v="3"/>
    <x v="0"/>
    <n v="2"/>
    <n v="5"/>
    <x v="0"/>
  </r>
  <r>
    <n v="627"/>
    <x v="5"/>
    <x v="0"/>
    <x v="1"/>
    <s v="Turkey"/>
    <x v="51"/>
    <x v="0"/>
    <x v="0"/>
    <x v="28"/>
    <x v="2"/>
    <x v="1"/>
    <n v="4"/>
    <n v="8"/>
    <x v="2"/>
  </r>
  <r>
    <n v="628"/>
    <x v="2"/>
    <x v="1"/>
    <x v="0"/>
    <s v="USA"/>
    <x v="11"/>
    <x v="1"/>
    <x v="0"/>
    <x v="11"/>
    <x v="0"/>
    <x v="0"/>
    <n v="3"/>
    <n v="7"/>
    <x v="0"/>
  </r>
  <r>
    <n v="629"/>
    <x v="1"/>
    <x v="0"/>
    <x v="1"/>
    <s v="Mexico"/>
    <x v="47"/>
    <x v="4"/>
    <x v="0"/>
    <x v="7"/>
    <x v="2"/>
    <x v="1"/>
    <n v="4"/>
    <n v="8"/>
    <x v="0"/>
  </r>
  <r>
    <n v="630"/>
    <x v="0"/>
    <x v="1"/>
    <x v="0"/>
    <s v="France"/>
    <x v="19"/>
    <x v="0"/>
    <x v="1"/>
    <x v="9"/>
    <x v="3"/>
    <x v="0"/>
    <n v="2"/>
    <n v="5"/>
    <x v="0"/>
  </r>
  <r>
    <n v="631"/>
    <x v="6"/>
    <x v="0"/>
    <x v="1"/>
    <s v="Canada"/>
    <x v="33"/>
    <x v="2"/>
    <x v="0"/>
    <x v="14"/>
    <x v="0"/>
    <x v="1"/>
    <n v="3"/>
    <n v="7"/>
    <x v="0"/>
  </r>
  <r>
    <n v="632"/>
    <x v="4"/>
    <x v="1"/>
    <x v="0"/>
    <s v="UK"/>
    <x v="35"/>
    <x v="4"/>
    <x v="0"/>
    <x v="27"/>
    <x v="2"/>
    <x v="1"/>
    <n v="4"/>
    <n v="8"/>
    <x v="0"/>
  </r>
  <r>
    <n v="633"/>
    <x v="5"/>
    <x v="0"/>
    <x v="1"/>
    <s v="Italy"/>
    <x v="10"/>
    <x v="1"/>
    <x v="1"/>
    <x v="24"/>
    <x v="3"/>
    <x v="0"/>
    <n v="2"/>
    <n v="5"/>
    <x v="0"/>
  </r>
  <r>
    <n v="634"/>
    <x v="2"/>
    <x v="1"/>
    <x v="0"/>
    <s v="Russia"/>
    <x v="50"/>
    <x v="0"/>
    <x v="0"/>
    <x v="15"/>
    <x v="4"/>
    <x v="1"/>
    <n v="5"/>
    <n v="9"/>
    <x v="2"/>
  </r>
  <r>
    <n v="635"/>
    <x v="1"/>
    <x v="0"/>
    <x v="1"/>
    <s v="China"/>
    <x v="23"/>
    <x v="11"/>
    <x v="0"/>
    <x v="14"/>
    <x v="0"/>
    <x v="0"/>
    <n v="3"/>
    <n v="7"/>
    <x v="0"/>
  </r>
  <r>
    <n v="636"/>
    <x v="0"/>
    <x v="1"/>
    <x v="0"/>
    <s v="Japan"/>
    <x v="27"/>
    <x v="1"/>
    <x v="1"/>
    <x v="21"/>
    <x v="1"/>
    <x v="1"/>
    <n v="2"/>
    <n v="4"/>
    <x v="0"/>
  </r>
  <r>
    <n v="637"/>
    <x v="6"/>
    <x v="0"/>
    <x v="1"/>
    <s v="Poland"/>
    <x v="25"/>
    <x v="2"/>
    <x v="0"/>
    <x v="26"/>
    <x v="2"/>
    <x v="1"/>
    <n v="4"/>
    <n v="8"/>
    <x v="0"/>
  </r>
  <r>
    <n v="638"/>
    <x v="4"/>
    <x v="1"/>
    <x v="0"/>
    <s v="Finland"/>
    <x v="44"/>
    <x v="0"/>
    <x v="1"/>
    <x v="1"/>
    <x v="3"/>
    <x v="0"/>
    <n v="2"/>
    <n v="5"/>
    <x v="0"/>
  </r>
  <r>
    <n v="639"/>
    <x v="5"/>
    <x v="0"/>
    <x v="1"/>
    <s v="Spain"/>
    <x v="47"/>
    <x v="4"/>
    <x v="0"/>
    <x v="7"/>
    <x v="2"/>
    <x v="1"/>
    <n v="4"/>
    <n v="8"/>
    <x v="0"/>
  </r>
  <r>
    <n v="640"/>
    <x v="2"/>
    <x v="1"/>
    <x v="0"/>
    <s v="Denmark"/>
    <x v="4"/>
    <x v="1"/>
    <x v="1"/>
    <x v="16"/>
    <x v="3"/>
    <x v="0"/>
    <n v="2"/>
    <n v="5"/>
    <x v="0"/>
  </r>
  <r>
    <n v="641"/>
    <x v="1"/>
    <x v="0"/>
    <x v="1"/>
    <s v="Ireland"/>
    <x v="29"/>
    <x v="0"/>
    <x v="0"/>
    <x v="0"/>
    <x v="0"/>
    <x v="1"/>
    <n v="3"/>
    <n v="7"/>
    <x v="0"/>
  </r>
  <r>
    <n v="642"/>
    <x v="0"/>
    <x v="1"/>
    <x v="0"/>
    <s v="India"/>
    <x v="5"/>
    <x v="2"/>
    <x v="0"/>
    <x v="13"/>
    <x v="4"/>
    <x v="1"/>
    <n v="5"/>
    <n v="9"/>
    <x v="2"/>
  </r>
  <r>
    <n v="643"/>
    <x v="6"/>
    <x v="0"/>
    <x v="1"/>
    <s v="Switzerland"/>
    <x v="38"/>
    <x v="4"/>
    <x v="1"/>
    <x v="9"/>
    <x v="3"/>
    <x v="0"/>
    <n v="2"/>
    <n v="5"/>
    <x v="0"/>
  </r>
  <r>
    <n v="644"/>
    <x v="4"/>
    <x v="1"/>
    <x v="0"/>
    <s v="Turkey"/>
    <x v="49"/>
    <x v="0"/>
    <x v="0"/>
    <x v="4"/>
    <x v="2"/>
    <x v="1"/>
    <n v="4"/>
    <n v="8"/>
    <x v="2"/>
  </r>
  <r>
    <n v="645"/>
    <x v="5"/>
    <x v="0"/>
    <x v="1"/>
    <s v="USA"/>
    <x v="20"/>
    <x v="1"/>
    <x v="0"/>
    <x v="11"/>
    <x v="0"/>
    <x v="0"/>
    <n v="3"/>
    <n v="7"/>
    <x v="0"/>
  </r>
  <r>
    <n v="646"/>
    <x v="1"/>
    <x v="1"/>
    <x v="1"/>
    <s v="Mexico"/>
    <x v="40"/>
    <x v="4"/>
    <x v="0"/>
    <x v="7"/>
    <x v="2"/>
    <x v="1"/>
    <n v="4"/>
    <n v="8"/>
    <x v="0"/>
  </r>
  <r>
    <n v="647"/>
    <x v="2"/>
    <x v="0"/>
    <x v="0"/>
    <s v="France"/>
    <x v="10"/>
    <x v="0"/>
    <x v="1"/>
    <x v="24"/>
    <x v="3"/>
    <x v="0"/>
    <n v="2"/>
    <n v="5"/>
    <x v="0"/>
  </r>
  <r>
    <n v="648"/>
    <x v="5"/>
    <x v="1"/>
    <x v="1"/>
    <s v="Canada"/>
    <x v="23"/>
    <x v="2"/>
    <x v="0"/>
    <x v="20"/>
    <x v="0"/>
    <x v="1"/>
    <n v="3"/>
    <n v="7"/>
    <x v="0"/>
  </r>
  <r>
    <n v="649"/>
    <x v="4"/>
    <x v="0"/>
    <x v="0"/>
    <s v="UK"/>
    <x v="35"/>
    <x v="1"/>
    <x v="0"/>
    <x v="27"/>
    <x v="2"/>
    <x v="1"/>
    <n v="4"/>
    <n v="8"/>
    <x v="0"/>
  </r>
  <r>
    <n v="650"/>
    <x v="6"/>
    <x v="1"/>
    <x v="1"/>
    <s v="Italy"/>
    <x v="19"/>
    <x v="4"/>
    <x v="1"/>
    <x v="9"/>
    <x v="3"/>
    <x v="0"/>
    <n v="2"/>
    <n v="5"/>
    <x v="0"/>
  </r>
  <r>
    <n v="651"/>
    <x v="0"/>
    <x v="0"/>
    <x v="0"/>
    <s v="Russia"/>
    <x v="49"/>
    <x v="0"/>
    <x v="0"/>
    <x v="15"/>
    <x v="4"/>
    <x v="1"/>
    <n v="5"/>
    <n v="9"/>
    <x v="2"/>
  </r>
  <r>
    <n v="652"/>
    <x v="1"/>
    <x v="1"/>
    <x v="1"/>
    <s v="China"/>
    <x v="33"/>
    <x v="11"/>
    <x v="0"/>
    <x v="14"/>
    <x v="0"/>
    <x v="0"/>
    <n v="3"/>
    <n v="7"/>
    <x v="0"/>
  </r>
  <r>
    <n v="653"/>
    <x v="2"/>
    <x v="0"/>
    <x v="0"/>
    <s v="Japan"/>
    <x v="44"/>
    <x v="1"/>
    <x v="1"/>
    <x v="1"/>
    <x v="1"/>
    <x v="1"/>
    <n v="2"/>
    <n v="4"/>
    <x v="0"/>
  </r>
  <r>
    <n v="654"/>
    <x v="5"/>
    <x v="1"/>
    <x v="1"/>
    <s v="Poland"/>
    <x v="35"/>
    <x v="2"/>
    <x v="0"/>
    <x v="27"/>
    <x v="2"/>
    <x v="1"/>
    <n v="4"/>
    <n v="8"/>
    <x v="0"/>
  </r>
  <r>
    <n v="655"/>
    <x v="4"/>
    <x v="0"/>
    <x v="0"/>
    <s v="Finland"/>
    <x v="27"/>
    <x v="0"/>
    <x v="1"/>
    <x v="21"/>
    <x v="3"/>
    <x v="0"/>
    <n v="2"/>
    <n v="5"/>
    <x v="0"/>
  </r>
  <r>
    <n v="656"/>
    <x v="6"/>
    <x v="1"/>
    <x v="1"/>
    <s v="Spain"/>
    <x v="13"/>
    <x v="4"/>
    <x v="0"/>
    <x v="28"/>
    <x v="2"/>
    <x v="1"/>
    <n v="4"/>
    <n v="8"/>
    <x v="0"/>
  </r>
  <r>
    <n v="657"/>
    <x v="0"/>
    <x v="0"/>
    <x v="0"/>
    <s v="Denmark"/>
    <x v="38"/>
    <x v="1"/>
    <x v="1"/>
    <x v="16"/>
    <x v="3"/>
    <x v="0"/>
    <n v="2"/>
    <n v="5"/>
    <x v="0"/>
  </r>
  <r>
    <n v="658"/>
    <x v="1"/>
    <x v="1"/>
    <x v="1"/>
    <s v="Ireland"/>
    <x v="7"/>
    <x v="0"/>
    <x v="0"/>
    <x v="20"/>
    <x v="0"/>
    <x v="1"/>
    <n v="3"/>
    <n v="7"/>
    <x v="0"/>
  </r>
  <r>
    <n v="659"/>
    <x v="2"/>
    <x v="0"/>
    <x v="0"/>
    <s v="India"/>
    <x v="53"/>
    <x v="2"/>
    <x v="0"/>
    <x v="8"/>
    <x v="4"/>
    <x v="1"/>
    <n v="5"/>
    <n v="9"/>
    <x v="2"/>
  </r>
  <r>
    <n v="660"/>
    <x v="5"/>
    <x v="1"/>
    <x v="1"/>
    <s v="Switzerland"/>
    <x v="4"/>
    <x v="4"/>
    <x v="1"/>
    <x v="16"/>
    <x v="3"/>
    <x v="0"/>
    <n v="2"/>
    <n v="5"/>
    <x v="0"/>
  </r>
  <r>
    <n v="661"/>
    <x v="4"/>
    <x v="0"/>
    <x v="0"/>
    <s v="Turkey"/>
    <x v="51"/>
    <x v="0"/>
    <x v="0"/>
    <x v="4"/>
    <x v="2"/>
    <x v="1"/>
    <n v="4"/>
    <n v="8"/>
    <x v="2"/>
  </r>
  <r>
    <n v="662"/>
    <x v="6"/>
    <x v="1"/>
    <x v="1"/>
    <s v="USA"/>
    <x v="31"/>
    <x v="1"/>
    <x v="0"/>
    <x v="11"/>
    <x v="0"/>
    <x v="0"/>
    <n v="3"/>
    <n v="7"/>
    <x v="0"/>
  </r>
  <r>
    <n v="663"/>
    <x v="0"/>
    <x v="0"/>
    <x v="0"/>
    <s v="Mexico"/>
    <x v="47"/>
    <x v="2"/>
    <x v="0"/>
    <x v="7"/>
    <x v="2"/>
    <x v="1"/>
    <n v="4"/>
    <n v="8"/>
    <x v="0"/>
  </r>
  <r>
    <n v="664"/>
    <x v="1"/>
    <x v="1"/>
    <x v="1"/>
    <s v="France"/>
    <x v="19"/>
    <x v="4"/>
    <x v="1"/>
    <x v="9"/>
    <x v="3"/>
    <x v="0"/>
    <n v="2"/>
    <n v="5"/>
    <x v="0"/>
  </r>
  <r>
    <n v="665"/>
    <x v="2"/>
    <x v="0"/>
    <x v="0"/>
    <s v="Canada"/>
    <x v="33"/>
    <x v="0"/>
    <x v="0"/>
    <x v="14"/>
    <x v="0"/>
    <x v="1"/>
    <n v="3"/>
    <n v="7"/>
    <x v="0"/>
  </r>
  <r>
    <n v="666"/>
    <x v="5"/>
    <x v="1"/>
    <x v="1"/>
    <s v="UK"/>
    <x v="40"/>
    <x v="1"/>
    <x v="0"/>
    <x v="7"/>
    <x v="2"/>
    <x v="1"/>
    <n v="4"/>
    <n v="8"/>
    <x v="0"/>
  </r>
  <r>
    <n v="667"/>
    <x v="4"/>
    <x v="0"/>
    <x v="0"/>
    <s v="Italy"/>
    <x v="10"/>
    <x v="2"/>
    <x v="1"/>
    <x v="24"/>
    <x v="3"/>
    <x v="0"/>
    <n v="2"/>
    <n v="5"/>
    <x v="0"/>
  </r>
  <r>
    <n v="668"/>
    <x v="6"/>
    <x v="1"/>
    <x v="1"/>
    <s v="Russia"/>
    <x v="50"/>
    <x v="0"/>
    <x v="0"/>
    <x v="15"/>
    <x v="4"/>
    <x v="1"/>
    <n v="5"/>
    <n v="9"/>
    <x v="2"/>
  </r>
  <r>
    <n v="669"/>
    <x v="0"/>
    <x v="0"/>
    <x v="0"/>
    <s v="China"/>
    <x v="23"/>
    <x v="11"/>
    <x v="0"/>
    <x v="14"/>
    <x v="0"/>
    <x v="0"/>
    <n v="3"/>
    <n v="7"/>
    <x v="0"/>
  </r>
  <r>
    <n v="670"/>
    <x v="1"/>
    <x v="1"/>
    <x v="1"/>
    <s v="Japan"/>
    <x v="27"/>
    <x v="1"/>
    <x v="1"/>
    <x v="21"/>
    <x v="1"/>
    <x v="1"/>
    <n v="2"/>
    <n v="4"/>
    <x v="0"/>
  </r>
  <r>
    <n v="671"/>
    <x v="2"/>
    <x v="0"/>
    <x v="0"/>
    <s v="Poland"/>
    <x v="25"/>
    <x v="4"/>
    <x v="0"/>
    <x v="26"/>
    <x v="2"/>
    <x v="1"/>
    <n v="4"/>
    <n v="8"/>
    <x v="0"/>
  </r>
  <r>
    <n v="672"/>
    <x v="5"/>
    <x v="1"/>
    <x v="1"/>
    <s v="Finland"/>
    <x v="44"/>
    <x v="0"/>
    <x v="1"/>
    <x v="1"/>
    <x v="3"/>
    <x v="0"/>
    <n v="2"/>
    <n v="5"/>
    <x v="0"/>
  </r>
  <r>
    <n v="673"/>
    <x v="4"/>
    <x v="0"/>
    <x v="0"/>
    <s v="Spain"/>
    <x v="47"/>
    <x v="2"/>
    <x v="0"/>
    <x v="7"/>
    <x v="2"/>
    <x v="1"/>
    <n v="4"/>
    <n v="8"/>
    <x v="0"/>
  </r>
  <r>
    <n v="674"/>
    <x v="6"/>
    <x v="1"/>
    <x v="1"/>
    <s v="Denmark"/>
    <x v="4"/>
    <x v="1"/>
    <x v="1"/>
    <x v="16"/>
    <x v="3"/>
    <x v="0"/>
    <n v="2"/>
    <n v="5"/>
    <x v="0"/>
  </r>
  <r>
    <n v="675"/>
    <x v="0"/>
    <x v="0"/>
    <x v="0"/>
    <s v="Ireland"/>
    <x v="29"/>
    <x v="0"/>
    <x v="0"/>
    <x v="0"/>
    <x v="0"/>
    <x v="1"/>
    <n v="3"/>
    <n v="7"/>
    <x v="0"/>
  </r>
  <r>
    <n v="676"/>
    <x v="1"/>
    <x v="1"/>
    <x v="1"/>
    <s v="India"/>
    <x v="5"/>
    <x v="4"/>
    <x v="0"/>
    <x v="13"/>
    <x v="4"/>
    <x v="1"/>
    <n v="5"/>
    <n v="9"/>
    <x v="2"/>
  </r>
  <r>
    <n v="677"/>
    <x v="2"/>
    <x v="0"/>
    <x v="0"/>
    <s v="Switzerland"/>
    <x v="38"/>
    <x v="2"/>
    <x v="1"/>
    <x v="9"/>
    <x v="3"/>
    <x v="0"/>
    <n v="2"/>
    <n v="5"/>
    <x v="0"/>
  </r>
  <r>
    <n v="678"/>
    <x v="5"/>
    <x v="1"/>
    <x v="1"/>
    <s v="Turkey"/>
    <x v="49"/>
    <x v="0"/>
    <x v="0"/>
    <x v="4"/>
    <x v="2"/>
    <x v="1"/>
    <n v="4"/>
    <n v="8"/>
    <x v="2"/>
  </r>
  <r>
    <n v="679"/>
    <x v="4"/>
    <x v="0"/>
    <x v="0"/>
    <s v="USA"/>
    <x v="20"/>
    <x v="1"/>
    <x v="0"/>
    <x v="11"/>
    <x v="0"/>
    <x v="0"/>
    <n v="3"/>
    <n v="7"/>
    <x v="0"/>
  </r>
  <r>
    <n v="680"/>
    <x v="6"/>
    <x v="1"/>
    <x v="1"/>
    <s v="Mexico"/>
    <x v="35"/>
    <x v="4"/>
    <x v="0"/>
    <x v="27"/>
    <x v="2"/>
    <x v="1"/>
    <n v="4"/>
    <n v="8"/>
    <x v="0"/>
  </r>
  <r>
    <n v="681"/>
    <x v="0"/>
    <x v="0"/>
    <x v="0"/>
    <s v="France"/>
    <x v="19"/>
    <x v="0"/>
    <x v="1"/>
    <x v="9"/>
    <x v="3"/>
    <x v="0"/>
    <n v="2"/>
    <n v="5"/>
    <x v="0"/>
  </r>
  <r>
    <n v="682"/>
    <x v="1"/>
    <x v="1"/>
    <x v="1"/>
    <s v="Canada"/>
    <x v="7"/>
    <x v="2"/>
    <x v="0"/>
    <x v="20"/>
    <x v="0"/>
    <x v="1"/>
    <n v="3"/>
    <n v="7"/>
    <x v="0"/>
  </r>
  <r>
    <n v="683"/>
    <x v="2"/>
    <x v="0"/>
    <x v="0"/>
    <s v="UK"/>
    <x v="25"/>
    <x v="1"/>
    <x v="0"/>
    <x v="26"/>
    <x v="2"/>
    <x v="1"/>
    <n v="4"/>
    <n v="8"/>
    <x v="0"/>
  </r>
  <r>
    <n v="684"/>
    <x v="5"/>
    <x v="1"/>
    <x v="1"/>
    <s v="Italy"/>
    <x v="10"/>
    <x v="4"/>
    <x v="1"/>
    <x v="24"/>
    <x v="3"/>
    <x v="0"/>
    <n v="2"/>
    <n v="5"/>
    <x v="0"/>
  </r>
  <r>
    <n v="685"/>
    <x v="4"/>
    <x v="0"/>
    <x v="0"/>
    <s v="Russia"/>
    <x v="51"/>
    <x v="0"/>
    <x v="0"/>
    <x v="4"/>
    <x v="4"/>
    <x v="1"/>
    <n v="5"/>
    <n v="9"/>
    <x v="2"/>
  </r>
  <r>
    <n v="686"/>
    <x v="6"/>
    <x v="1"/>
    <x v="1"/>
    <s v="China"/>
    <x v="11"/>
    <x v="11"/>
    <x v="0"/>
    <x v="11"/>
    <x v="0"/>
    <x v="0"/>
    <n v="3"/>
    <n v="7"/>
    <x v="0"/>
  </r>
  <r>
    <n v="687"/>
    <x v="0"/>
    <x v="0"/>
    <x v="0"/>
    <s v="Japan"/>
    <x v="15"/>
    <x v="1"/>
    <x v="1"/>
    <x v="1"/>
    <x v="1"/>
    <x v="1"/>
    <n v="2"/>
    <n v="4"/>
    <x v="0"/>
  </r>
  <r>
    <n v="688"/>
    <x v="1"/>
    <x v="1"/>
    <x v="1"/>
    <s v="Poland"/>
    <x v="40"/>
    <x v="2"/>
    <x v="0"/>
    <x v="7"/>
    <x v="2"/>
    <x v="1"/>
    <n v="4"/>
    <n v="8"/>
    <x v="0"/>
  </r>
  <r>
    <n v="689"/>
    <x v="2"/>
    <x v="0"/>
    <x v="0"/>
    <s v="Finland"/>
    <x v="27"/>
    <x v="0"/>
    <x v="1"/>
    <x v="21"/>
    <x v="3"/>
    <x v="0"/>
    <n v="2"/>
    <n v="5"/>
    <x v="0"/>
  </r>
  <r>
    <n v="690"/>
    <x v="5"/>
    <x v="1"/>
    <x v="1"/>
    <s v="Spain"/>
    <x v="13"/>
    <x v="4"/>
    <x v="0"/>
    <x v="28"/>
    <x v="2"/>
    <x v="1"/>
    <n v="4"/>
    <n v="8"/>
    <x v="0"/>
  </r>
  <r>
    <n v="691"/>
    <x v="4"/>
    <x v="0"/>
    <x v="0"/>
    <s v="Denmark"/>
    <x v="38"/>
    <x v="1"/>
    <x v="1"/>
    <x v="16"/>
    <x v="3"/>
    <x v="0"/>
    <n v="2"/>
    <n v="5"/>
    <x v="0"/>
  </r>
  <r>
    <n v="692"/>
    <x v="6"/>
    <x v="1"/>
    <x v="1"/>
    <s v="Ireland"/>
    <x v="29"/>
    <x v="0"/>
    <x v="0"/>
    <x v="0"/>
    <x v="0"/>
    <x v="1"/>
    <n v="3"/>
    <n v="7"/>
    <x v="0"/>
  </r>
  <r>
    <n v="693"/>
    <x v="0"/>
    <x v="0"/>
    <x v="0"/>
    <s v="India"/>
    <x v="48"/>
    <x v="2"/>
    <x v="0"/>
    <x v="8"/>
    <x v="4"/>
    <x v="1"/>
    <n v="5"/>
    <n v="9"/>
    <x v="2"/>
  </r>
  <r>
    <n v="694"/>
    <x v="1"/>
    <x v="1"/>
    <x v="1"/>
    <s v="Switzerland"/>
    <x v="4"/>
    <x v="4"/>
    <x v="1"/>
    <x v="16"/>
    <x v="3"/>
    <x v="0"/>
    <n v="2"/>
    <n v="5"/>
    <x v="0"/>
  </r>
  <r>
    <n v="695"/>
    <x v="2"/>
    <x v="0"/>
    <x v="0"/>
    <s v="Turkey"/>
    <x v="52"/>
    <x v="0"/>
    <x v="0"/>
    <x v="28"/>
    <x v="2"/>
    <x v="1"/>
    <n v="4"/>
    <n v="8"/>
    <x v="2"/>
  </r>
  <r>
    <n v="696"/>
    <x v="5"/>
    <x v="1"/>
    <x v="1"/>
    <s v="USA"/>
    <x v="11"/>
    <x v="1"/>
    <x v="0"/>
    <x v="14"/>
    <x v="0"/>
    <x v="0"/>
    <n v="3"/>
    <n v="7"/>
    <x v="0"/>
  </r>
  <r>
    <n v="697"/>
    <x v="4"/>
    <x v="0"/>
    <x v="0"/>
    <s v="Mexico"/>
    <x v="40"/>
    <x v="2"/>
    <x v="0"/>
    <x v="7"/>
    <x v="2"/>
    <x v="1"/>
    <n v="4"/>
    <n v="8"/>
    <x v="0"/>
  </r>
  <r>
    <n v="698"/>
    <x v="6"/>
    <x v="1"/>
    <x v="1"/>
    <s v="France"/>
    <x v="10"/>
    <x v="4"/>
    <x v="1"/>
    <x v="24"/>
    <x v="3"/>
    <x v="0"/>
    <n v="2"/>
    <n v="5"/>
    <x v="0"/>
  </r>
  <r>
    <n v="699"/>
    <x v="0"/>
    <x v="0"/>
    <x v="0"/>
    <s v="Canada"/>
    <x v="23"/>
    <x v="0"/>
    <x v="0"/>
    <x v="20"/>
    <x v="0"/>
    <x v="1"/>
    <n v="3"/>
    <n v="7"/>
    <x v="0"/>
  </r>
  <r>
    <n v="700"/>
    <x v="1"/>
    <x v="1"/>
    <x v="1"/>
    <s v="UK"/>
    <x v="35"/>
    <x v="1"/>
    <x v="0"/>
    <x v="27"/>
    <x v="2"/>
    <x v="1"/>
    <n v="4"/>
    <n v="8"/>
    <x v="0"/>
  </r>
  <r>
    <n v="701"/>
    <x v="2"/>
    <x v="0"/>
    <x v="0"/>
    <s v="Italy"/>
    <x v="19"/>
    <x v="2"/>
    <x v="1"/>
    <x v="9"/>
    <x v="3"/>
    <x v="0"/>
    <n v="2"/>
    <n v="5"/>
    <x v="0"/>
  </r>
  <r>
    <n v="702"/>
    <x v="5"/>
    <x v="1"/>
    <x v="1"/>
    <s v="Russia"/>
    <x v="49"/>
    <x v="0"/>
    <x v="0"/>
    <x v="15"/>
    <x v="4"/>
    <x v="1"/>
    <n v="5"/>
    <n v="9"/>
    <x v="2"/>
  </r>
  <r>
    <n v="703"/>
    <x v="4"/>
    <x v="0"/>
    <x v="0"/>
    <s v="China"/>
    <x v="33"/>
    <x v="11"/>
    <x v="0"/>
    <x v="14"/>
    <x v="0"/>
    <x v="0"/>
    <n v="3"/>
    <n v="7"/>
    <x v="0"/>
  </r>
  <r>
    <n v="704"/>
    <x v="6"/>
    <x v="1"/>
    <x v="1"/>
    <s v="Japan"/>
    <x v="44"/>
    <x v="1"/>
    <x v="1"/>
    <x v="1"/>
    <x v="1"/>
    <x v="1"/>
    <n v="2"/>
    <n v="4"/>
    <x v="0"/>
  </r>
  <r>
    <n v="705"/>
    <x v="0"/>
    <x v="0"/>
    <x v="0"/>
    <s v="Poland"/>
    <x v="35"/>
    <x v="4"/>
    <x v="0"/>
    <x v="27"/>
    <x v="2"/>
    <x v="1"/>
    <n v="4"/>
    <n v="8"/>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x v="0"/>
    <x v="0"/>
    <x v="0"/>
    <x v="0"/>
    <x v="0"/>
    <x v="0"/>
    <x v="0"/>
    <x v="0"/>
    <x v="0"/>
    <x v="0"/>
    <x v="0"/>
    <x v="0"/>
    <x v="0"/>
  </r>
  <r>
    <n v="2"/>
    <x v="1"/>
    <x v="1"/>
    <x v="1"/>
    <x v="1"/>
    <x v="1"/>
    <x v="1"/>
    <x v="1"/>
    <x v="1"/>
    <x v="1"/>
    <x v="1"/>
    <x v="1"/>
    <x v="1"/>
    <x v="1"/>
    <x v="0"/>
    <x v="1"/>
    <x v="1"/>
    <x v="1"/>
  </r>
  <r>
    <n v="3"/>
    <x v="2"/>
    <x v="0"/>
    <x v="0"/>
    <x v="2"/>
    <x v="2"/>
    <x v="2"/>
    <x v="0"/>
    <x v="2"/>
    <x v="2"/>
    <x v="2"/>
    <x v="2"/>
    <x v="2"/>
    <x v="0"/>
    <x v="1"/>
    <x v="2"/>
    <x v="0"/>
    <x v="0"/>
  </r>
  <r>
    <n v="4"/>
    <x v="3"/>
    <x v="1"/>
    <x v="2"/>
    <x v="3"/>
    <x v="3"/>
    <x v="3"/>
    <x v="1"/>
    <x v="3"/>
    <x v="3"/>
    <x v="1"/>
    <x v="3"/>
    <x v="3"/>
    <x v="1"/>
    <x v="0"/>
    <x v="0"/>
    <x v="0"/>
    <x v="2"/>
  </r>
  <r>
    <n v="5"/>
    <x v="4"/>
    <x v="1"/>
    <x v="1"/>
    <x v="4"/>
    <x v="4"/>
    <x v="4"/>
    <x v="0"/>
    <x v="4"/>
    <x v="0"/>
    <x v="0"/>
    <x v="4"/>
    <x v="4"/>
    <x v="0"/>
    <x v="0"/>
    <x v="0"/>
    <x v="0"/>
    <x v="0"/>
  </r>
  <r>
    <n v="6"/>
    <x v="0"/>
    <x v="0"/>
    <x v="0"/>
    <x v="5"/>
    <x v="5"/>
    <x v="0"/>
    <x v="0"/>
    <x v="5"/>
    <x v="4"/>
    <x v="2"/>
    <x v="5"/>
    <x v="2"/>
    <x v="2"/>
    <x v="0"/>
    <x v="2"/>
    <x v="2"/>
    <x v="0"/>
  </r>
  <r>
    <n v="7"/>
    <x v="5"/>
    <x v="1"/>
    <x v="1"/>
    <x v="6"/>
    <x v="6"/>
    <x v="5"/>
    <x v="1"/>
    <x v="6"/>
    <x v="5"/>
    <x v="1"/>
    <x v="1"/>
    <x v="5"/>
    <x v="1"/>
    <x v="0"/>
    <x v="1"/>
    <x v="1"/>
    <x v="1"/>
  </r>
  <r>
    <n v="8"/>
    <x v="2"/>
    <x v="0"/>
    <x v="0"/>
    <x v="7"/>
    <x v="7"/>
    <x v="6"/>
    <x v="0"/>
    <x v="4"/>
    <x v="0"/>
    <x v="0"/>
    <x v="4"/>
    <x v="0"/>
    <x v="0"/>
    <x v="1"/>
    <x v="0"/>
    <x v="0"/>
    <x v="0"/>
  </r>
  <r>
    <n v="9"/>
    <x v="3"/>
    <x v="1"/>
    <x v="2"/>
    <x v="8"/>
    <x v="8"/>
    <x v="2"/>
    <x v="1"/>
    <x v="0"/>
    <x v="3"/>
    <x v="1"/>
    <x v="3"/>
    <x v="6"/>
    <x v="0"/>
    <x v="0"/>
    <x v="0"/>
    <x v="0"/>
    <x v="2"/>
  </r>
  <r>
    <n v="10"/>
    <x v="4"/>
    <x v="0"/>
    <x v="1"/>
    <x v="9"/>
    <x v="9"/>
    <x v="0"/>
    <x v="1"/>
    <x v="3"/>
    <x v="3"/>
    <x v="0"/>
    <x v="3"/>
    <x v="3"/>
    <x v="1"/>
    <x v="0"/>
    <x v="0"/>
    <x v="0"/>
    <x v="2"/>
  </r>
  <r>
    <n v="11"/>
    <x v="0"/>
    <x v="1"/>
    <x v="0"/>
    <x v="10"/>
    <x v="10"/>
    <x v="6"/>
    <x v="0"/>
    <x v="7"/>
    <x v="2"/>
    <x v="2"/>
    <x v="0"/>
    <x v="4"/>
    <x v="0"/>
    <x v="0"/>
    <x v="0"/>
    <x v="0"/>
    <x v="0"/>
  </r>
  <r>
    <n v="12"/>
    <x v="2"/>
    <x v="0"/>
    <x v="0"/>
    <x v="11"/>
    <x v="11"/>
    <x v="2"/>
    <x v="0"/>
    <x v="8"/>
    <x v="0"/>
    <x v="0"/>
    <x v="4"/>
    <x v="0"/>
    <x v="0"/>
    <x v="0"/>
    <x v="0"/>
    <x v="0"/>
    <x v="0"/>
  </r>
  <r>
    <n v="13"/>
    <x v="1"/>
    <x v="1"/>
    <x v="1"/>
    <x v="12"/>
    <x v="12"/>
    <x v="5"/>
    <x v="1"/>
    <x v="9"/>
    <x v="1"/>
    <x v="1"/>
    <x v="3"/>
    <x v="3"/>
    <x v="1"/>
    <x v="0"/>
    <x v="1"/>
    <x v="1"/>
    <x v="2"/>
  </r>
  <r>
    <n v="14"/>
    <x v="3"/>
    <x v="0"/>
    <x v="2"/>
    <x v="13"/>
    <x v="13"/>
    <x v="0"/>
    <x v="0"/>
    <x v="10"/>
    <x v="2"/>
    <x v="1"/>
    <x v="2"/>
    <x v="2"/>
    <x v="0"/>
    <x v="0"/>
    <x v="0"/>
    <x v="0"/>
    <x v="0"/>
  </r>
  <r>
    <n v="15"/>
    <x v="4"/>
    <x v="1"/>
    <x v="0"/>
    <x v="14"/>
    <x v="14"/>
    <x v="3"/>
    <x v="1"/>
    <x v="11"/>
    <x v="3"/>
    <x v="0"/>
    <x v="4"/>
    <x v="6"/>
    <x v="0"/>
    <x v="1"/>
    <x v="0"/>
    <x v="0"/>
    <x v="2"/>
  </r>
  <r>
    <n v="16"/>
    <x v="2"/>
    <x v="0"/>
    <x v="0"/>
    <x v="15"/>
    <x v="15"/>
    <x v="2"/>
    <x v="0"/>
    <x v="4"/>
    <x v="0"/>
    <x v="2"/>
    <x v="0"/>
    <x v="4"/>
    <x v="0"/>
    <x v="0"/>
    <x v="0"/>
    <x v="0"/>
    <x v="0"/>
  </r>
  <r>
    <n v="17"/>
    <x v="6"/>
    <x v="1"/>
    <x v="1"/>
    <x v="16"/>
    <x v="16"/>
    <x v="5"/>
    <x v="1"/>
    <x v="12"/>
    <x v="1"/>
    <x v="1"/>
    <x v="1"/>
    <x v="1"/>
    <x v="1"/>
    <x v="0"/>
    <x v="1"/>
    <x v="1"/>
    <x v="1"/>
  </r>
  <r>
    <n v="18"/>
    <x v="0"/>
    <x v="0"/>
    <x v="2"/>
    <x v="17"/>
    <x v="17"/>
    <x v="0"/>
    <x v="0"/>
    <x v="13"/>
    <x v="2"/>
    <x v="0"/>
    <x v="0"/>
    <x v="0"/>
    <x v="0"/>
    <x v="0"/>
    <x v="0"/>
    <x v="0"/>
    <x v="0"/>
  </r>
  <r>
    <n v="19"/>
    <x v="4"/>
    <x v="1"/>
    <x v="0"/>
    <x v="18"/>
    <x v="18"/>
    <x v="4"/>
    <x v="1"/>
    <x v="14"/>
    <x v="3"/>
    <x v="1"/>
    <x v="3"/>
    <x v="6"/>
    <x v="1"/>
    <x v="0"/>
    <x v="0"/>
    <x v="0"/>
    <x v="2"/>
  </r>
  <r>
    <n v="20"/>
    <x v="2"/>
    <x v="0"/>
    <x v="0"/>
    <x v="19"/>
    <x v="19"/>
    <x v="6"/>
    <x v="0"/>
    <x v="15"/>
    <x v="0"/>
    <x v="2"/>
    <x v="0"/>
    <x v="4"/>
    <x v="0"/>
    <x v="1"/>
    <x v="0"/>
    <x v="0"/>
    <x v="0"/>
  </r>
  <r>
    <n v="21"/>
    <x v="3"/>
    <x v="1"/>
    <x v="2"/>
    <x v="20"/>
    <x v="20"/>
    <x v="2"/>
    <x v="0"/>
    <x v="10"/>
    <x v="2"/>
    <x v="1"/>
    <x v="2"/>
    <x v="0"/>
    <x v="0"/>
    <x v="0"/>
    <x v="0"/>
    <x v="0"/>
    <x v="0"/>
  </r>
  <r>
    <n v="22"/>
    <x v="5"/>
    <x v="0"/>
    <x v="1"/>
    <x v="21"/>
    <x v="21"/>
    <x v="5"/>
    <x v="1"/>
    <x v="16"/>
    <x v="1"/>
    <x v="0"/>
    <x v="3"/>
    <x v="3"/>
    <x v="1"/>
    <x v="0"/>
    <x v="1"/>
    <x v="1"/>
    <x v="2"/>
  </r>
  <r>
    <n v="23"/>
    <x v="0"/>
    <x v="1"/>
    <x v="0"/>
    <x v="22"/>
    <x v="22"/>
    <x v="0"/>
    <x v="0"/>
    <x v="8"/>
    <x v="0"/>
    <x v="2"/>
    <x v="0"/>
    <x v="4"/>
    <x v="0"/>
    <x v="0"/>
    <x v="0"/>
    <x v="0"/>
    <x v="0"/>
  </r>
  <r>
    <n v="24"/>
    <x v="2"/>
    <x v="0"/>
    <x v="0"/>
    <x v="23"/>
    <x v="23"/>
    <x v="2"/>
    <x v="0"/>
    <x v="17"/>
    <x v="2"/>
    <x v="1"/>
    <x v="2"/>
    <x v="0"/>
    <x v="0"/>
    <x v="0"/>
    <x v="0"/>
    <x v="0"/>
    <x v="0"/>
  </r>
  <r>
    <n v="25"/>
    <x v="1"/>
    <x v="1"/>
    <x v="1"/>
    <x v="24"/>
    <x v="24"/>
    <x v="4"/>
    <x v="1"/>
    <x v="18"/>
    <x v="3"/>
    <x v="0"/>
    <x v="4"/>
    <x v="6"/>
    <x v="1"/>
    <x v="0"/>
    <x v="0"/>
    <x v="0"/>
    <x v="2"/>
  </r>
  <r>
    <n v="26"/>
    <x v="0"/>
    <x v="0"/>
    <x v="2"/>
    <x v="25"/>
    <x v="25"/>
    <x v="0"/>
    <x v="0"/>
    <x v="19"/>
    <x v="2"/>
    <x v="2"/>
    <x v="2"/>
    <x v="2"/>
    <x v="0"/>
    <x v="0"/>
    <x v="0"/>
    <x v="0"/>
    <x v="0"/>
  </r>
  <r>
    <n v="27"/>
    <x v="4"/>
    <x v="1"/>
    <x v="0"/>
    <x v="26"/>
    <x v="26"/>
    <x v="3"/>
    <x v="1"/>
    <x v="20"/>
    <x v="3"/>
    <x v="1"/>
    <x v="3"/>
    <x v="6"/>
    <x v="0"/>
    <x v="1"/>
    <x v="0"/>
    <x v="0"/>
    <x v="2"/>
  </r>
  <r>
    <n v="28"/>
    <x v="2"/>
    <x v="0"/>
    <x v="0"/>
    <x v="27"/>
    <x v="27"/>
    <x v="2"/>
    <x v="0"/>
    <x v="15"/>
    <x v="0"/>
    <x v="0"/>
    <x v="0"/>
    <x v="4"/>
    <x v="0"/>
    <x v="0"/>
    <x v="0"/>
    <x v="0"/>
    <x v="0"/>
  </r>
  <r>
    <n v="29"/>
    <x v="6"/>
    <x v="1"/>
    <x v="1"/>
    <x v="28"/>
    <x v="28"/>
    <x v="5"/>
    <x v="1"/>
    <x v="21"/>
    <x v="1"/>
    <x v="1"/>
    <x v="1"/>
    <x v="1"/>
    <x v="1"/>
    <x v="0"/>
    <x v="1"/>
    <x v="1"/>
    <x v="1"/>
  </r>
  <r>
    <n v="30"/>
    <x v="0"/>
    <x v="0"/>
    <x v="2"/>
    <x v="29"/>
    <x v="29"/>
    <x v="0"/>
    <x v="0"/>
    <x v="22"/>
    <x v="2"/>
    <x v="2"/>
    <x v="2"/>
    <x v="0"/>
    <x v="0"/>
    <x v="0"/>
    <x v="0"/>
    <x v="0"/>
    <x v="0"/>
  </r>
  <r>
    <n v="31"/>
    <x v="4"/>
    <x v="1"/>
    <x v="0"/>
    <x v="30"/>
    <x v="30"/>
    <x v="4"/>
    <x v="1"/>
    <x v="14"/>
    <x v="3"/>
    <x v="1"/>
    <x v="3"/>
    <x v="6"/>
    <x v="0"/>
    <x v="0"/>
    <x v="0"/>
    <x v="0"/>
    <x v="2"/>
  </r>
  <r>
    <n v="32"/>
    <x v="2"/>
    <x v="0"/>
    <x v="0"/>
    <x v="31"/>
    <x v="10"/>
    <x v="6"/>
    <x v="0"/>
    <x v="13"/>
    <x v="0"/>
    <x v="0"/>
    <x v="0"/>
    <x v="4"/>
    <x v="0"/>
    <x v="1"/>
    <x v="0"/>
    <x v="0"/>
    <x v="0"/>
  </r>
  <r>
    <n v="33"/>
    <x v="3"/>
    <x v="1"/>
    <x v="2"/>
    <x v="32"/>
    <x v="31"/>
    <x v="2"/>
    <x v="0"/>
    <x v="17"/>
    <x v="2"/>
    <x v="2"/>
    <x v="2"/>
    <x v="0"/>
    <x v="0"/>
    <x v="0"/>
    <x v="0"/>
    <x v="0"/>
    <x v="0"/>
  </r>
  <r>
    <n v="34"/>
    <x v="5"/>
    <x v="0"/>
    <x v="1"/>
    <x v="33"/>
    <x v="32"/>
    <x v="5"/>
    <x v="1"/>
    <x v="9"/>
    <x v="1"/>
    <x v="1"/>
    <x v="3"/>
    <x v="3"/>
    <x v="1"/>
    <x v="0"/>
    <x v="1"/>
    <x v="1"/>
    <x v="2"/>
  </r>
  <r>
    <n v="35"/>
    <x v="0"/>
    <x v="1"/>
    <x v="0"/>
    <x v="34"/>
    <x v="19"/>
    <x v="0"/>
    <x v="0"/>
    <x v="8"/>
    <x v="0"/>
    <x v="0"/>
    <x v="0"/>
    <x v="4"/>
    <x v="0"/>
    <x v="0"/>
    <x v="0"/>
    <x v="0"/>
    <x v="0"/>
  </r>
  <r>
    <n v="36"/>
    <x v="2"/>
    <x v="0"/>
    <x v="0"/>
    <x v="35"/>
    <x v="33"/>
    <x v="2"/>
    <x v="0"/>
    <x v="10"/>
    <x v="2"/>
    <x v="2"/>
    <x v="2"/>
    <x v="0"/>
    <x v="0"/>
    <x v="0"/>
    <x v="0"/>
    <x v="0"/>
    <x v="0"/>
  </r>
  <r>
    <n v="37"/>
    <x v="1"/>
    <x v="1"/>
    <x v="1"/>
    <x v="36"/>
    <x v="34"/>
    <x v="4"/>
    <x v="1"/>
    <x v="11"/>
    <x v="3"/>
    <x v="1"/>
    <x v="3"/>
    <x v="6"/>
    <x v="1"/>
    <x v="0"/>
    <x v="0"/>
    <x v="0"/>
    <x v="2"/>
  </r>
  <r>
    <n v="38"/>
    <x v="0"/>
    <x v="0"/>
    <x v="2"/>
    <x v="37"/>
    <x v="35"/>
    <x v="0"/>
    <x v="0"/>
    <x v="23"/>
    <x v="2"/>
    <x v="0"/>
    <x v="2"/>
    <x v="2"/>
    <x v="0"/>
    <x v="0"/>
    <x v="0"/>
    <x v="0"/>
    <x v="0"/>
  </r>
  <r>
    <n v="39"/>
    <x v="4"/>
    <x v="1"/>
    <x v="0"/>
    <x v="38"/>
    <x v="36"/>
    <x v="3"/>
    <x v="1"/>
    <x v="0"/>
    <x v="3"/>
    <x v="2"/>
    <x v="4"/>
    <x v="7"/>
    <x v="0"/>
    <x v="1"/>
    <x v="0"/>
    <x v="0"/>
    <x v="2"/>
  </r>
  <r>
    <n v="40"/>
    <x v="2"/>
    <x v="0"/>
    <x v="0"/>
    <x v="39"/>
    <x v="4"/>
    <x v="2"/>
    <x v="0"/>
    <x v="8"/>
    <x v="0"/>
    <x v="1"/>
    <x v="0"/>
    <x v="4"/>
    <x v="0"/>
    <x v="0"/>
    <x v="0"/>
    <x v="0"/>
    <x v="0"/>
  </r>
  <r>
    <n v="41"/>
    <x v="6"/>
    <x v="1"/>
    <x v="1"/>
    <x v="40"/>
    <x v="37"/>
    <x v="5"/>
    <x v="1"/>
    <x v="16"/>
    <x v="1"/>
    <x v="0"/>
    <x v="3"/>
    <x v="3"/>
    <x v="1"/>
    <x v="0"/>
    <x v="1"/>
    <x v="1"/>
    <x v="2"/>
  </r>
  <r>
    <n v="42"/>
    <x v="0"/>
    <x v="0"/>
    <x v="2"/>
    <x v="41"/>
    <x v="7"/>
    <x v="0"/>
    <x v="0"/>
    <x v="17"/>
    <x v="2"/>
    <x v="2"/>
    <x v="2"/>
    <x v="0"/>
    <x v="0"/>
    <x v="0"/>
    <x v="0"/>
    <x v="0"/>
    <x v="0"/>
  </r>
  <r>
    <n v="43"/>
    <x v="4"/>
    <x v="1"/>
    <x v="0"/>
    <x v="42"/>
    <x v="14"/>
    <x v="4"/>
    <x v="1"/>
    <x v="20"/>
    <x v="3"/>
    <x v="1"/>
    <x v="4"/>
    <x v="6"/>
    <x v="0"/>
    <x v="0"/>
    <x v="0"/>
    <x v="0"/>
    <x v="2"/>
  </r>
  <r>
    <n v="44"/>
    <x v="2"/>
    <x v="0"/>
    <x v="0"/>
    <x v="43"/>
    <x v="38"/>
    <x v="6"/>
    <x v="0"/>
    <x v="13"/>
    <x v="0"/>
    <x v="0"/>
    <x v="0"/>
    <x v="4"/>
    <x v="0"/>
    <x v="0"/>
    <x v="0"/>
    <x v="0"/>
    <x v="0"/>
  </r>
  <r>
    <n v="45"/>
    <x v="3"/>
    <x v="1"/>
    <x v="2"/>
    <x v="44"/>
    <x v="11"/>
    <x v="2"/>
    <x v="0"/>
    <x v="22"/>
    <x v="2"/>
    <x v="1"/>
    <x v="2"/>
    <x v="0"/>
    <x v="0"/>
    <x v="0"/>
    <x v="0"/>
    <x v="0"/>
    <x v="0"/>
  </r>
  <r>
    <n v="46"/>
    <x v="5"/>
    <x v="0"/>
    <x v="1"/>
    <x v="45"/>
    <x v="39"/>
    <x v="5"/>
    <x v="1"/>
    <x v="24"/>
    <x v="1"/>
    <x v="2"/>
    <x v="3"/>
    <x v="3"/>
    <x v="1"/>
    <x v="0"/>
    <x v="1"/>
    <x v="1"/>
    <x v="2"/>
  </r>
  <r>
    <n v="47"/>
    <x v="0"/>
    <x v="1"/>
    <x v="0"/>
    <x v="46"/>
    <x v="10"/>
    <x v="0"/>
    <x v="0"/>
    <x v="15"/>
    <x v="0"/>
    <x v="0"/>
    <x v="0"/>
    <x v="4"/>
    <x v="0"/>
    <x v="1"/>
    <x v="0"/>
    <x v="0"/>
    <x v="0"/>
  </r>
  <r>
    <n v="48"/>
    <x v="2"/>
    <x v="0"/>
    <x v="0"/>
    <x v="47"/>
    <x v="11"/>
    <x v="2"/>
    <x v="0"/>
    <x v="25"/>
    <x v="2"/>
    <x v="1"/>
    <x v="2"/>
    <x v="0"/>
    <x v="0"/>
    <x v="0"/>
    <x v="0"/>
    <x v="0"/>
    <x v="0"/>
  </r>
  <r>
    <n v="49"/>
    <x v="1"/>
    <x v="1"/>
    <x v="1"/>
    <x v="48"/>
    <x v="9"/>
    <x v="4"/>
    <x v="1"/>
    <x v="14"/>
    <x v="3"/>
    <x v="0"/>
    <x v="4"/>
    <x v="6"/>
    <x v="1"/>
    <x v="0"/>
    <x v="0"/>
    <x v="0"/>
    <x v="2"/>
  </r>
  <r>
    <n v="50"/>
    <x v="0"/>
    <x v="0"/>
    <x v="2"/>
    <x v="49"/>
    <x v="40"/>
    <x v="0"/>
    <x v="0"/>
    <x v="19"/>
    <x v="2"/>
    <x v="2"/>
    <x v="2"/>
    <x v="2"/>
    <x v="0"/>
    <x v="0"/>
    <x v="0"/>
    <x v="0"/>
    <x v="0"/>
  </r>
  <r>
    <n v="51"/>
    <x v="4"/>
    <x v="1"/>
    <x v="0"/>
    <x v="50"/>
    <x v="26"/>
    <x v="3"/>
    <x v="1"/>
    <x v="26"/>
    <x v="3"/>
    <x v="1"/>
    <x v="4"/>
    <x v="7"/>
    <x v="0"/>
    <x v="1"/>
    <x v="0"/>
    <x v="0"/>
    <x v="2"/>
  </r>
  <r>
    <n v="52"/>
    <x v="2"/>
    <x v="0"/>
    <x v="0"/>
    <x v="51"/>
    <x v="19"/>
    <x v="2"/>
    <x v="0"/>
    <x v="8"/>
    <x v="0"/>
    <x v="0"/>
    <x v="0"/>
    <x v="4"/>
    <x v="0"/>
    <x v="0"/>
    <x v="0"/>
    <x v="0"/>
    <x v="0"/>
  </r>
  <r>
    <n v="53"/>
    <x v="6"/>
    <x v="1"/>
    <x v="1"/>
    <x v="52"/>
    <x v="41"/>
    <x v="5"/>
    <x v="1"/>
    <x v="9"/>
    <x v="1"/>
    <x v="2"/>
    <x v="3"/>
    <x v="3"/>
    <x v="1"/>
    <x v="0"/>
    <x v="1"/>
    <x v="1"/>
    <x v="2"/>
  </r>
  <r>
    <n v="54"/>
    <x v="0"/>
    <x v="0"/>
    <x v="2"/>
    <x v="53"/>
    <x v="23"/>
    <x v="0"/>
    <x v="0"/>
    <x v="10"/>
    <x v="2"/>
    <x v="1"/>
    <x v="2"/>
    <x v="0"/>
    <x v="0"/>
    <x v="0"/>
    <x v="0"/>
    <x v="0"/>
    <x v="0"/>
  </r>
  <r>
    <n v="55"/>
    <x v="4"/>
    <x v="1"/>
    <x v="0"/>
    <x v="54"/>
    <x v="30"/>
    <x v="4"/>
    <x v="1"/>
    <x v="0"/>
    <x v="3"/>
    <x v="0"/>
    <x v="4"/>
    <x v="6"/>
    <x v="0"/>
    <x v="1"/>
    <x v="0"/>
    <x v="0"/>
    <x v="2"/>
  </r>
  <r>
    <n v="56"/>
    <x v="2"/>
    <x v="0"/>
    <x v="0"/>
    <x v="55"/>
    <x v="22"/>
    <x v="6"/>
    <x v="0"/>
    <x v="25"/>
    <x v="0"/>
    <x v="2"/>
    <x v="0"/>
    <x v="4"/>
    <x v="0"/>
    <x v="0"/>
    <x v="0"/>
    <x v="0"/>
    <x v="0"/>
  </r>
  <r>
    <n v="57"/>
    <x v="3"/>
    <x v="1"/>
    <x v="2"/>
    <x v="56"/>
    <x v="33"/>
    <x v="2"/>
    <x v="0"/>
    <x v="19"/>
    <x v="2"/>
    <x v="1"/>
    <x v="2"/>
    <x v="0"/>
    <x v="0"/>
    <x v="0"/>
    <x v="0"/>
    <x v="0"/>
    <x v="0"/>
  </r>
  <r>
    <n v="58"/>
    <x v="5"/>
    <x v="0"/>
    <x v="1"/>
    <x v="57"/>
    <x v="12"/>
    <x v="5"/>
    <x v="1"/>
    <x v="3"/>
    <x v="1"/>
    <x v="0"/>
    <x v="3"/>
    <x v="3"/>
    <x v="1"/>
    <x v="0"/>
    <x v="0"/>
    <x v="1"/>
    <x v="2"/>
  </r>
  <r>
    <n v="59"/>
    <x v="0"/>
    <x v="1"/>
    <x v="0"/>
    <x v="58"/>
    <x v="38"/>
    <x v="0"/>
    <x v="0"/>
    <x v="15"/>
    <x v="0"/>
    <x v="2"/>
    <x v="0"/>
    <x v="4"/>
    <x v="0"/>
    <x v="0"/>
    <x v="0"/>
    <x v="0"/>
    <x v="0"/>
  </r>
  <r>
    <n v="60"/>
    <x v="2"/>
    <x v="0"/>
    <x v="0"/>
    <x v="59"/>
    <x v="31"/>
    <x v="2"/>
    <x v="0"/>
    <x v="13"/>
    <x v="2"/>
    <x v="1"/>
    <x v="2"/>
    <x v="0"/>
    <x v="0"/>
    <x v="0"/>
    <x v="0"/>
    <x v="0"/>
    <x v="0"/>
  </r>
  <r>
    <n v="61"/>
    <x v="1"/>
    <x v="1"/>
    <x v="1"/>
    <x v="60"/>
    <x v="34"/>
    <x v="4"/>
    <x v="1"/>
    <x v="24"/>
    <x v="3"/>
    <x v="1"/>
    <x v="3"/>
    <x v="6"/>
    <x v="1"/>
    <x v="1"/>
    <x v="1"/>
    <x v="0"/>
    <x v="2"/>
  </r>
  <r>
    <n v="62"/>
    <x v="0"/>
    <x v="0"/>
    <x v="0"/>
    <x v="61"/>
    <x v="33"/>
    <x v="0"/>
    <x v="0"/>
    <x v="25"/>
    <x v="2"/>
    <x v="0"/>
    <x v="0"/>
    <x v="0"/>
    <x v="0"/>
    <x v="0"/>
    <x v="0"/>
    <x v="0"/>
    <x v="0"/>
  </r>
  <r>
    <n v="63"/>
    <x v="2"/>
    <x v="1"/>
    <x v="0"/>
    <x v="62"/>
    <x v="15"/>
    <x v="2"/>
    <x v="0"/>
    <x v="4"/>
    <x v="0"/>
    <x v="2"/>
    <x v="0"/>
    <x v="4"/>
    <x v="0"/>
    <x v="0"/>
    <x v="0"/>
    <x v="0"/>
    <x v="0"/>
  </r>
  <r>
    <n v="64"/>
    <x v="3"/>
    <x v="0"/>
    <x v="2"/>
    <x v="63"/>
    <x v="25"/>
    <x v="6"/>
    <x v="0"/>
    <x v="19"/>
    <x v="4"/>
    <x v="1"/>
    <x v="2"/>
    <x v="2"/>
    <x v="0"/>
    <x v="0"/>
    <x v="0"/>
    <x v="2"/>
    <x v="0"/>
  </r>
  <r>
    <n v="65"/>
    <x v="5"/>
    <x v="1"/>
    <x v="1"/>
    <x v="64"/>
    <x v="37"/>
    <x v="5"/>
    <x v="1"/>
    <x v="21"/>
    <x v="1"/>
    <x v="0"/>
    <x v="3"/>
    <x v="1"/>
    <x v="1"/>
    <x v="0"/>
    <x v="1"/>
    <x v="1"/>
    <x v="1"/>
  </r>
  <r>
    <n v="66"/>
    <x v="4"/>
    <x v="0"/>
    <x v="0"/>
    <x v="65"/>
    <x v="10"/>
    <x v="0"/>
    <x v="0"/>
    <x v="8"/>
    <x v="0"/>
    <x v="1"/>
    <x v="0"/>
    <x v="4"/>
    <x v="0"/>
    <x v="0"/>
    <x v="0"/>
    <x v="0"/>
    <x v="0"/>
  </r>
  <r>
    <n v="67"/>
    <x v="2"/>
    <x v="1"/>
    <x v="0"/>
    <x v="66"/>
    <x v="36"/>
    <x v="3"/>
    <x v="1"/>
    <x v="0"/>
    <x v="3"/>
    <x v="2"/>
    <x v="4"/>
    <x v="7"/>
    <x v="0"/>
    <x v="1"/>
    <x v="0"/>
    <x v="0"/>
    <x v="2"/>
  </r>
  <r>
    <n v="68"/>
    <x v="0"/>
    <x v="0"/>
    <x v="2"/>
    <x v="67"/>
    <x v="23"/>
    <x v="2"/>
    <x v="0"/>
    <x v="17"/>
    <x v="2"/>
    <x v="0"/>
    <x v="2"/>
    <x v="0"/>
    <x v="0"/>
    <x v="0"/>
    <x v="0"/>
    <x v="0"/>
    <x v="0"/>
  </r>
  <r>
    <n v="69"/>
    <x v="1"/>
    <x v="1"/>
    <x v="1"/>
    <x v="68"/>
    <x v="12"/>
    <x v="5"/>
    <x v="1"/>
    <x v="9"/>
    <x v="1"/>
    <x v="1"/>
    <x v="3"/>
    <x v="3"/>
    <x v="1"/>
    <x v="0"/>
    <x v="1"/>
    <x v="1"/>
    <x v="2"/>
  </r>
  <r>
    <n v="70"/>
    <x v="2"/>
    <x v="0"/>
    <x v="0"/>
    <x v="69"/>
    <x v="4"/>
    <x v="0"/>
    <x v="0"/>
    <x v="15"/>
    <x v="0"/>
    <x v="2"/>
    <x v="0"/>
    <x v="4"/>
    <x v="0"/>
    <x v="1"/>
    <x v="0"/>
    <x v="0"/>
    <x v="0"/>
  </r>
  <r>
    <n v="71"/>
    <x v="3"/>
    <x v="1"/>
    <x v="2"/>
    <x v="70"/>
    <x v="31"/>
    <x v="6"/>
    <x v="0"/>
    <x v="10"/>
    <x v="2"/>
    <x v="1"/>
    <x v="2"/>
    <x v="0"/>
    <x v="0"/>
    <x v="0"/>
    <x v="0"/>
    <x v="0"/>
    <x v="0"/>
  </r>
  <r>
    <n v="72"/>
    <x v="4"/>
    <x v="0"/>
    <x v="1"/>
    <x v="71"/>
    <x v="24"/>
    <x v="4"/>
    <x v="1"/>
    <x v="11"/>
    <x v="3"/>
    <x v="0"/>
    <x v="4"/>
    <x v="6"/>
    <x v="1"/>
    <x v="0"/>
    <x v="0"/>
    <x v="0"/>
    <x v="2"/>
  </r>
  <r>
    <n v="73"/>
    <x v="0"/>
    <x v="1"/>
    <x v="0"/>
    <x v="72"/>
    <x v="22"/>
    <x v="2"/>
    <x v="0"/>
    <x v="13"/>
    <x v="0"/>
    <x v="2"/>
    <x v="0"/>
    <x v="4"/>
    <x v="0"/>
    <x v="0"/>
    <x v="0"/>
    <x v="0"/>
    <x v="0"/>
  </r>
  <r>
    <n v="74"/>
    <x v="2"/>
    <x v="0"/>
    <x v="0"/>
    <x v="73"/>
    <x v="7"/>
    <x v="0"/>
    <x v="0"/>
    <x v="22"/>
    <x v="2"/>
    <x v="1"/>
    <x v="2"/>
    <x v="0"/>
    <x v="0"/>
    <x v="1"/>
    <x v="0"/>
    <x v="0"/>
    <x v="0"/>
  </r>
  <r>
    <n v="75"/>
    <x v="5"/>
    <x v="1"/>
    <x v="1"/>
    <x v="74"/>
    <x v="21"/>
    <x v="5"/>
    <x v="1"/>
    <x v="16"/>
    <x v="1"/>
    <x v="0"/>
    <x v="3"/>
    <x v="3"/>
    <x v="1"/>
    <x v="0"/>
    <x v="1"/>
    <x v="1"/>
    <x v="2"/>
  </r>
  <r>
    <n v="76"/>
    <x v="4"/>
    <x v="0"/>
    <x v="0"/>
    <x v="75"/>
    <x v="38"/>
    <x v="6"/>
    <x v="0"/>
    <x v="8"/>
    <x v="0"/>
    <x v="1"/>
    <x v="0"/>
    <x v="4"/>
    <x v="0"/>
    <x v="0"/>
    <x v="0"/>
    <x v="0"/>
    <x v="0"/>
  </r>
  <r>
    <n v="77"/>
    <x v="0"/>
    <x v="1"/>
    <x v="2"/>
    <x v="76"/>
    <x v="11"/>
    <x v="2"/>
    <x v="0"/>
    <x v="17"/>
    <x v="2"/>
    <x v="2"/>
    <x v="2"/>
    <x v="0"/>
    <x v="0"/>
    <x v="0"/>
    <x v="0"/>
    <x v="0"/>
    <x v="0"/>
  </r>
  <r>
    <n v="78"/>
    <x v="1"/>
    <x v="0"/>
    <x v="1"/>
    <x v="77"/>
    <x v="42"/>
    <x v="4"/>
    <x v="1"/>
    <x v="3"/>
    <x v="3"/>
    <x v="0"/>
    <x v="4"/>
    <x v="6"/>
    <x v="1"/>
    <x v="0"/>
    <x v="0"/>
    <x v="0"/>
    <x v="2"/>
  </r>
  <r>
    <n v="79"/>
    <x v="2"/>
    <x v="1"/>
    <x v="0"/>
    <x v="78"/>
    <x v="19"/>
    <x v="3"/>
    <x v="0"/>
    <x v="15"/>
    <x v="0"/>
    <x v="1"/>
    <x v="0"/>
    <x v="4"/>
    <x v="0"/>
    <x v="0"/>
    <x v="0"/>
    <x v="0"/>
    <x v="0"/>
  </r>
  <r>
    <n v="80"/>
    <x v="3"/>
    <x v="0"/>
    <x v="2"/>
    <x v="79"/>
    <x v="29"/>
    <x v="0"/>
    <x v="0"/>
    <x v="19"/>
    <x v="2"/>
    <x v="2"/>
    <x v="2"/>
    <x v="2"/>
    <x v="0"/>
    <x v="0"/>
    <x v="0"/>
    <x v="0"/>
    <x v="0"/>
  </r>
  <r>
    <n v="81"/>
    <x v="4"/>
    <x v="1"/>
    <x v="1"/>
    <x v="80"/>
    <x v="3"/>
    <x v="5"/>
    <x v="1"/>
    <x v="24"/>
    <x v="1"/>
    <x v="0"/>
    <x v="3"/>
    <x v="3"/>
    <x v="1"/>
    <x v="1"/>
    <x v="1"/>
    <x v="1"/>
    <x v="2"/>
  </r>
  <r>
    <n v="82"/>
    <x v="0"/>
    <x v="0"/>
    <x v="0"/>
    <x v="81"/>
    <x v="10"/>
    <x v="2"/>
    <x v="0"/>
    <x v="13"/>
    <x v="0"/>
    <x v="1"/>
    <x v="0"/>
    <x v="4"/>
    <x v="0"/>
    <x v="0"/>
    <x v="0"/>
    <x v="0"/>
    <x v="0"/>
  </r>
  <r>
    <n v="83"/>
    <x v="2"/>
    <x v="1"/>
    <x v="0"/>
    <x v="82"/>
    <x v="26"/>
    <x v="4"/>
    <x v="1"/>
    <x v="20"/>
    <x v="3"/>
    <x v="2"/>
    <x v="4"/>
    <x v="7"/>
    <x v="0"/>
    <x v="0"/>
    <x v="0"/>
    <x v="0"/>
    <x v="2"/>
  </r>
  <r>
    <n v="84"/>
    <x v="1"/>
    <x v="0"/>
    <x v="1"/>
    <x v="83"/>
    <x v="39"/>
    <x v="5"/>
    <x v="1"/>
    <x v="9"/>
    <x v="1"/>
    <x v="0"/>
    <x v="3"/>
    <x v="3"/>
    <x v="1"/>
    <x v="1"/>
    <x v="1"/>
    <x v="1"/>
    <x v="2"/>
  </r>
  <r>
    <n v="85"/>
    <x v="3"/>
    <x v="1"/>
    <x v="2"/>
    <x v="84"/>
    <x v="33"/>
    <x v="6"/>
    <x v="0"/>
    <x v="22"/>
    <x v="2"/>
    <x v="1"/>
    <x v="2"/>
    <x v="0"/>
    <x v="0"/>
    <x v="0"/>
    <x v="0"/>
    <x v="0"/>
    <x v="0"/>
  </r>
  <r>
    <n v="86"/>
    <x v="4"/>
    <x v="0"/>
    <x v="0"/>
    <x v="85"/>
    <x v="4"/>
    <x v="0"/>
    <x v="0"/>
    <x v="8"/>
    <x v="0"/>
    <x v="2"/>
    <x v="0"/>
    <x v="4"/>
    <x v="0"/>
    <x v="0"/>
    <x v="0"/>
    <x v="0"/>
    <x v="0"/>
  </r>
  <r>
    <n v="87"/>
    <x v="0"/>
    <x v="1"/>
    <x v="2"/>
    <x v="86"/>
    <x v="20"/>
    <x v="2"/>
    <x v="0"/>
    <x v="10"/>
    <x v="2"/>
    <x v="0"/>
    <x v="2"/>
    <x v="0"/>
    <x v="0"/>
    <x v="0"/>
    <x v="0"/>
    <x v="0"/>
    <x v="0"/>
  </r>
  <r>
    <n v="88"/>
    <x v="5"/>
    <x v="0"/>
    <x v="1"/>
    <x v="87"/>
    <x v="32"/>
    <x v="5"/>
    <x v="1"/>
    <x v="16"/>
    <x v="1"/>
    <x v="1"/>
    <x v="3"/>
    <x v="3"/>
    <x v="1"/>
    <x v="1"/>
    <x v="1"/>
    <x v="1"/>
    <x v="2"/>
  </r>
  <r>
    <n v="89"/>
    <x v="2"/>
    <x v="1"/>
    <x v="0"/>
    <x v="88"/>
    <x v="27"/>
    <x v="3"/>
    <x v="0"/>
    <x v="4"/>
    <x v="0"/>
    <x v="2"/>
    <x v="0"/>
    <x v="4"/>
    <x v="0"/>
    <x v="0"/>
    <x v="0"/>
    <x v="0"/>
    <x v="0"/>
  </r>
  <r>
    <n v="90"/>
    <x v="3"/>
    <x v="0"/>
    <x v="2"/>
    <x v="89"/>
    <x v="7"/>
    <x v="0"/>
    <x v="0"/>
    <x v="19"/>
    <x v="2"/>
    <x v="1"/>
    <x v="2"/>
    <x v="2"/>
    <x v="0"/>
    <x v="0"/>
    <x v="0"/>
    <x v="0"/>
    <x v="0"/>
  </r>
  <r>
    <n v="91"/>
    <x v="1"/>
    <x v="1"/>
    <x v="1"/>
    <x v="90"/>
    <x v="42"/>
    <x v="4"/>
    <x v="1"/>
    <x v="3"/>
    <x v="3"/>
    <x v="0"/>
    <x v="4"/>
    <x v="6"/>
    <x v="1"/>
    <x v="0"/>
    <x v="0"/>
    <x v="0"/>
    <x v="2"/>
  </r>
  <r>
    <n v="92"/>
    <x v="0"/>
    <x v="0"/>
    <x v="0"/>
    <x v="91"/>
    <x v="19"/>
    <x v="2"/>
    <x v="0"/>
    <x v="8"/>
    <x v="0"/>
    <x v="2"/>
    <x v="0"/>
    <x v="4"/>
    <x v="0"/>
    <x v="0"/>
    <x v="0"/>
    <x v="0"/>
    <x v="0"/>
  </r>
  <r>
    <n v="93"/>
    <x v="4"/>
    <x v="1"/>
    <x v="0"/>
    <x v="92"/>
    <x v="14"/>
    <x v="6"/>
    <x v="1"/>
    <x v="0"/>
    <x v="3"/>
    <x v="1"/>
    <x v="4"/>
    <x v="7"/>
    <x v="0"/>
    <x v="0"/>
    <x v="0"/>
    <x v="0"/>
    <x v="2"/>
  </r>
  <r>
    <n v="94"/>
    <x v="2"/>
    <x v="0"/>
    <x v="2"/>
    <x v="93"/>
    <x v="11"/>
    <x v="0"/>
    <x v="0"/>
    <x v="17"/>
    <x v="2"/>
    <x v="0"/>
    <x v="2"/>
    <x v="0"/>
    <x v="0"/>
    <x v="0"/>
    <x v="0"/>
    <x v="0"/>
    <x v="0"/>
  </r>
  <r>
    <n v="95"/>
    <x v="5"/>
    <x v="1"/>
    <x v="1"/>
    <x v="94"/>
    <x v="41"/>
    <x v="5"/>
    <x v="1"/>
    <x v="21"/>
    <x v="1"/>
    <x v="2"/>
    <x v="3"/>
    <x v="3"/>
    <x v="1"/>
    <x v="1"/>
    <x v="1"/>
    <x v="1"/>
    <x v="2"/>
  </r>
  <r>
    <n v="96"/>
    <x v="0"/>
    <x v="0"/>
    <x v="0"/>
    <x v="95"/>
    <x v="22"/>
    <x v="2"/>
    <x v="0"/>
    <x v="13"/>
    <x v="0"/>
    <x v="1"/>
    <x v="0"/>
    <x v="4"/>
    <x v="0"/>
    <x v="0"/>
    <x v="0"/>
    <x v="0"/>
    <x v="0"/>
  </r>
  <r>
    <n v="97"/>
    <x v="3"/>
    <x v="1"/>
    <x v="2"/>
    <x v="96"/>
    <x v="23"/>
    <x v="6"/>
    <x v="0"/>
    <x v="22"/>
    <x v="2"/>
    <x v="0"/>
    <x v="2"/>
    <x v="0"/>
    <x v="0"/>
    <x v="0"/>
    <x v="0"/>
    <x v="0"/>
    <x v="0"/>
  </r>
  <r>
    <n v="98"/>
    <x v="1"/>
    <x v="0"/>
    <x v="1"/>
    <x v="97"/>
    <x v="12"/>
    <x v="5"/>
    <x v="1"/>
    <x v="24"/>
    <x v="1"/>
    <x v="2"/>
    <x v="3"/>
    <x v="3"/>
    <x v="1"/>
    <x v="0"/>
    <x v="1"/>
    <x v="1"/>
    <x v="2"/>
  </r>
  <r>
    <n v="99"/>
    <x v="2"/>
    <x v="1"/>
    <x v="0"/>
    <x v="98"/>
    <x v="38"/>
    <x v="0"/>
    <x v="0"/>
    <x v="15"/>
    <x v="0"/>
    <x v="1"/>
    <x v="0"/>
    <x v="4"/>
    <x v="0"/>
    <x v="1"/>
    <x v="0"/>
    <x v="0"/>
    <x v="0"/>
  </r>
  <r>
    <n v="100"/>
    <x v="4"/>
    <x v="0"/>
    <x v="0"/>
    <x v="99"/>
    <x v="31"/>
    <x v="2"/>
    <x v="0"/>
    <x v="10"/>
    <x v="2"/>
    <x v="0"/>
    <x v="2"/>
    <x v="0"/>
    <x v="0"/>
    <x v="0"/>
    <x v="0"/>
    <x v="0"/>
    <x v="0"/>
  </r>
  <r>
    <n v="101"/>
    <x v="0"/>
    <x v="1"/>
    <x v="2"/>
    <x v="100"/>
    <x v="7"/>
    <x v="3"/>
    <x v="0"/>
    <x v="19"/>
    <x v="2"/>
    <x v="2"/>
    <x v="2"/>
    <x v="2"/>
    <x v="0"/>
    <x v="0"/>
    <x v="0"/>
    <x v="0"/>
    <x v="0"/>
  </r>
  <r>
    <n v="102"/>
    <x v="5"/>
    <x v="0"/>
    <x v="1"/>
    <x v="101"/>
    <x v="21"/>
    <x v="5"/>
    <x v="1"/>
    <x v="16"/>
    <x v="1"/>
    <x v="1"/>
    <x v="3"/>
    <x v="3"/>
    <x v="1"/>
    <x v="1"/>
    <x v="1"/>
    <x v="1"/>
    <x v="2"/>
  </r>
  <r>
    <n v="103"/>
    <x v="2"/>
    <x v="1"/>
    <x v="0"/>
    <x v="102"/>
    <x v="19"/>
    <x v="4"/>
    <x v="0"/>
    <x v="8"/>
    <x v="0"/>
    <x v="0"/>
    <x v="0"/>
    <x v="4"/>
    <x v="0"/>
    <x v="0"/>
    <x v="0"/>
    <x v="0"/>
    <x v="0"/>
  </r>
  <r>
    <n v="104"/>
    <x v="3"/>
    <x v="0"/>
    <x v="2"/>
    <x v="103"/>
    <x v="33"/>
    <x v="0"/>
    <x v="0"/>
    <x v="17"/>
    <x v="2"/>
    <x v="1"/>
    <x v="2"/>
    <x v="0"/>
    <x v="0"/>
    <x v="0"/>
    <x v="0"/>
    <x v="0"/>
    <x v="0"/>
  </r>
  <r>
    <n v="105"/>
    <x v="1"/>
    <x v="1"/>
    <x v="1"/>
    <x v="104"/>
    <x v="42"/>
    <x v="5"/>
    <x v="1"/>
    <x v="3"/>
    <x v="3"/>
    <x v="2"/>
    <x v="4"/>
    <x v="6"/>
    <x v="1"/>
    <x v="1"/>
    <x v="0"/>
    <x v="0"/>
    <x v="2"/>
  </r>
  <r>
    <n v="106"/>
    <x v="0"/>
    <x v="0"/>
    <x v="0"/>
    <x v="105"/>
    <x v="10"/>
    <x v="2"/>
    <x v="0"/>
    <x v="13"/>
    <x v="0"/>
    <x v="0"/>
    <x v="0"/>
    <x v="4"/>
    <x v="0"/>
    <x v="0"/>
    <x v="0"/>
    <x v="0"/>
    <x v="0"/>
  </r>
  <r>
    <n v="107"/>
    <x v="4"/>
    <x v="1"/>
    <x v="0"/>
    <x v="106"/>
    <x v="26"/>
    <x v="3"/>
    <x v="1"/>
    <x v="20"/>
    <x v="3"/>
    <x v="1"/>
    <x v="4"/>
    <x v="7"/>
    <x v="0"/>
    <x v="0"/>
    <x v="0"/>
    <x v="0"/>
    <x v="2"/>
  </r>
  <r>
    <n v="108"/>
    <x v="2"/>
    <x v="0"/>
    <x v="2"/>
    <x v="107"/>
    <x v="11"/>
    <x v="6"/>
    <x v="0"/>
    <x v="10"/>
    <x v="2"/>
    <x v="2"/>
    <x v="2"/>
    <x v="0"/>
    <x v="0"/>
    <x v="1"/>
    <x v="0"/>
    <x v="0"/>
    <x v="0"/>
  </r>
  <r>
    <n v="109"/>
    <x v="5"/>
    <x v="1"/>
    <x v="1"/>
    <x v="108"/>
    <x v="32"/>
    <x v="5"/>
    <x v="1"/>
    <x v="9"/>
    <x v="1"/>
    <x v="0"/>
    <x v="3"/>
    <x v="3"/>
    <x v="1"/>
    <x v="0"/>
    <x v="1"/>
    <x v="1"/>
    <x v="2"/>
  </r>
  <r>
    <n v="110"/>
    <x v="0"/>
    <x v="0"/>
    <x v="0"/>
    <x v="109"/>
    <x v="22"/>
    <x v="0"/>
    <x v="0"/>
    <x v="8"/>
    <x v="0"/>
    <x v="1"/>
    <x v="0"/>
    <x v="4"/>
    <x v="0"/>
    <x v="0"/>
    <x v="0"/>
    <x v="0"/>
    <x v="0"/>
  </r>
  <r>
    <n v="111"/>
    <x v="2"/>
    <x v="1"/>
    <x v="0"/>
    <x v="0"/>
    <x v="25"/>
    <x v="0"/>
    <x v="0"/>
    <x v="7"/>
    <x v="2"/>
    <x v="1"/>
    <x v="2"/>
    <x v="0"/>
    <x v="0"/>
    <x v="1"/>
    <x v="0"/>
    <x v="0"/>
    <x v="0"/>
  </r>
  <r>
    <n v="112"/>
    <x v="4"/>
    <x v="0"/>
    <x v="0"/>
    <x v="1"/>
    <x v="7"/>
    <x v="2"/>
    <x v="0"/>
    <x v="15"/>
    <x v="0"/>
    <x v="0"/>
    <x v="0"/>
    <x v="4"/>
    <x v="0"/>
    <x v="0"/>
    <x v="0"/>
    <x v="0"/>
    <x v="0"/>
  </r>
  <r>
    <n v="113"/>
    <x v="0"/>
    <x v="1"/>
    <x v="0"/>
    <x v="106"/>
    <x v="22"/>
    <x v="4"/>
    <x v="1"/>
    <x v="24"/>
    <x v="3"/>
    <x v="1"/>
    <x v="4"/>
    <x v="6"/>
    <x v="0"/>
    <x v="0"/>
    <x v="1"/>
    <x v="0"/>
    <x v="2"/>
  </r>
  <r>
    <n v="114"/>
    <x v="1"/>
    <x v="0"/>
    <x v="1"/>
    <x v="105"/>
    <x v="11"/>
    <x v="0"/>
    <x v="0"/>
    <x v="4"/>
    <x v="2"/>
    <x v="1"/>
    <x v="2"/>
    <x v="0"/>
    <x v="0"/>
    <x v="1"/>
    <x v="0"/>
    <x v="0"/>
    <x v="0"/>
  </r>
  <r>
    <n v="115"/>
    <x v="2"/>
    <x v="1"/>
    <x v="0"/>
    <x v="108"/>
    <x v="0"/>
    <x v="2"/>
    <x v="0"/>
    <x v="27"/>
    <x v="0"/>
    <x v="0"/>
    <x v="0"/>
    <x v="4"/>
    <x v="0"/>
    <x v="0"/>
    <x v="0"/>
    <x v="0"/>
    <x v="0"/>
  </r>
  <r>
    <n v="116"/>
    <x v="0"/>
    <x v="0"/>
    <x v="0"/>
    <x v="109"/>
    <x v="10"/>
    <x v="0"/>
    <x v="1"/>
    <x v="9"/>
    <x v="1"/>
    <x v="1"/>
    <x v="4"/>
    <x v="6"/>
    <x v="0"/>
    <x v="0"/>
    <x v="1"/>
    <x v="1"/>
    <x v="2"/>
  </r>
  <r>
    <n v="117"/>
    <x v="4"/>
    <x v="1"/>
    <x v="1"/>
    <x v="0"/>
    <x v="2"/>
    <x v="4"/>
    <x v="0"/>
    <x v="8"/>
    <x v="2"/>
    <x v="0"/>
    <x v="2"/>
    <x v="0"/>
    <x v="0"/>
    <x v="1"/>
    <x v="0"/>
    <x v="0"/>
    <x v="0"/>
  </r>
  <r>
    <n v="118"/>
    <x v="2"/>
    <x v="0"/>
    <x v="0"/>
    <x v="1"/>
    <x v="23"/>
    <x v="0"/>
    <x v="0"/>
    <x v="28"/>
    <x v="0"/>
    <x v="1"/>
    <x v="0"/>
    <x v="4"/>
    <x v="0"/>
    <x v="0"/>
    <x v="0"/>
    <x v="0"/>
    <x v="0"/>
  </r>
  <r>
    <n v="119"/>
    <x v="1"/>
    <x v="1"/>
    <x v="1"/>
    <x v="106"/>
    <x v="19"/>
    <x v="2"/>
    <x v="1"/>
    <x v="16"/>
    <x v="3"/>
    <x v="1"/>
    <x v="4"/>
    <x v="6"/>
    <x v="0"/>
    <x v="0"/>
    <x v="1"/>
    <x v="0"/>
    <x v="2"/>
  </r>
  <r>
    <n v="120"/>
    <x v="0"/>
    <x v="0"/>
    <x v="0"/>
    <x v="105"/>
    <x v="31"/>
    <x v="0"/>
    <x v="0"/>
    <x v="7"/>
    <x v="2"/>
    <x v="0"/>
    <x v="2"/>
    <x v="0"/>
    <x v="0"/>
    <x v="1"/>
    <x v="0"/>
    <x v="0"/>
    <x v="0"/>
  </r>
  <r>
    <n v="121"/>
    <x v="2"/>
    <x v="1"/>
    <x v="0"/>
    <x v="108"/>
    <x v="29"/>
    <x v="4"/>
    <x v="0"/>
    <x v="15"/>
    <x v="0"/>
    <x v="1"/>
    <x v="0"/>
    <x v="4"/>
    <x v="0"/>
    <x v="0"/>
    <x v="0"/>
    <x v="0"/>
    <x v="0"/>
  </r>
  <r>
    <n v="122"/>
    <x v="4"/>
    <x v="0"/>
    <x v="1"/>
    <x v="109"/>
    <x v="38"/>
    <x v="0"/>
    <x v="1"/>
    <x v="21"/>
    <x v="1"/>
    <x v="0"/>
    <x v="4"/>
    <x v="6"/>
    <x v="0"/>
    <x v="0"/>
    <x v="1"/>
    <x v="1"/>
    <x v="2"/>
  </r>
  <r>
    <n v="123"/>
    <x v="0"/>
    <x v="1"/>
    <x v="0"/>
    <x v="0"/>
    <x v="20"/>
    <x v="2"/>
    <x v="0"/>
    <x v="27"/>
    <x v="2"/>
    <x v="1"/>
    <x v="2"/>
    <x v="0"/>
    <x v="0"/>
    <x v="1"/>
    <x v="0"/>
    <x v="0"/>
    <x v="0"/>
  </r>
  <r>
    <n v="124"/>
    <x v="1"/>
    <x v="0"/>
    <x v="1"/>
    <x v="1"/>
    <x v="7"/>
    <x v="0"/>
    <x v="0"/>
    <x v="8"/>
    <x v="0"/>
    <x v="0"/>
    <x v="0"/>
    <x v="4"/>
    <x v="0"/>
    <x v="0"/>
    <x v="0"/>
    <x v="0"/>
    <x v="0"/>
  </r>
  <r>
    <n v="125"/>
    <x v="2"/>
    <x v="1"/>
    <x v="0"/>
    <x v="106"/>
    <x v="4"/>
    <x v="4"/>
    <x v="1"/>
    <x v="1"/>
    <x v="3"/>
    <x v="1"/>
    <x v="4"/>
    <x v="6"/>
    <x v="0"/>
    <x v="0"/>
    <x v="1"/>
    <x v="0"/>
    <x v="2"/>
  </r>
  <r>
    <n v="126"/>
    <x v="4"/>
    <x v="0"/>
    <x v="1"/>
    <x v="105"/>
    <x v="0"/>
    <x v="0"/>
    <x v="0"/>
    <x v="26"/>
    <x v="2"/>
    <x v="0"/>
    <x v="2"/>
    <x v="0"/>
    <x v="0"/>
    <x v="1"/>
    <x v="0"/>
    <x v="0"/>
    <x v="0"/>
  </r>
  <r>
    <n v="127"/>
    <x v="0"/>
    <x v="1"/>
    <x v="0"/>
    <x v="108"/>
    <x v="23"/>
    <x v="2"/>
    <x v="0"/>
    <x v="13"/>
    <x v="0"/>
    <x v="1"/>
    <x v="0"/>
    <x v="4"/>
    <x v="0"/>
    <x v="0"/>
    <x v="0"/>
    <x v="0"/>
    <x v="0"/>
  </r>
  <r>
    <n v="128"/>
    <x v="2"/>
    <x v="0"/>
    <x v="0"/>
    <x v="109"/>
    <x v="27"/>
    <x v="0"/>
    <x v="1"/>
    <x v="29"/>
    <x v="1"/>
    <x v="0"/>
    <x v="4"/>
    <x v="6"/>
    <x v="0"/>
    <x v="0"/>
    <x v="1"/>
    <x v="1"/>
    <x v="2"/>
  </r>
  <r>
    <n v="129"/>
    <x v="1"/>
    <x v="1"/>
    <x v="1"/>
    <x v="0"/>
    <x v="43"/>
    <x v="4"/>
    <x v="0"/>
    <x v="0"/>
    <x v="2"/>
    <x v="1"/>
    <x v="2"/>
    <x v="0"/>
    <x v="0"/>
    <x v="1"/>
    <x v="0"/>
    <x v="0"/>
    <x v="0"/>
  </r>
  <r>
    <n v="130"/>
    <x v="4"/>
    <x v="0"/>
    <x v="1"/>
    <x v="1"/>
    <x v="33"/>
    <x v="0"/>
    <x v="0"/>
    <x v="25"/>
    <x v="0"/>
    <x v="0"/>
    <x v="0"/>
    <x v="4"/>
    <x v="0"/>
    <x v="0"/>
    <x v="0"/>
    <x v="0"/>
    <x v="0"/>
  </r>
  <r>
    <n v="131"/>
    <x v="0"/>
    <x v="1"/>
    <x v="0"/>
    <x v="106"/>
    <x v="44"/>
    <x v="2"/>
    <x v="1"/>
    <x v="30"/>
    <x v="3"/>
    <x v="1"/>
    <x v="4"/>
    <x v="6"/>
    <x v="0"/>
    <x v="0"/>
    <x v="1"/>
    <x v="0"/>
    <x v="2"/>
  </r>
  <r>
    <n v="132"/>
    <x v="2"/>
    <x v="0"/>
    <x v="0"/>
    <x v="105"/>
    <x v="17"/>
    <x v="0"/>
    <x v="0"/>
    <x v="20"/>
    <x v="2"/>
    <x v="0"/>
    <x v="2"/>
    <x v="0"/>
    <x v="0"/>
    <x v="1"/>
    <x v="0"/>
    <x v="0"/>
    <x v="0"/>
  </r>
  <r>
    <n v="133"/>
    <x v="1"/>
    <x v="1"/>
    <x v="1"/>
    <x v="108"/>
    <x v="11"/>
    <x v="4"/>
    <x v="0"/>
    <x v="10"/>
    <x v="0"/>
    <x v="1"/>
    <x v="0"/>
    <x v="4"/>
    <x v="0"/>
    <x v="1"/>
    <x v="0"/>
    <x v="0"/>
    <x v="0"/>
  </r>
  <r>
    <n v="134"/>
    <x v="4"/>
    <x v="0"/>
    <x v="1"/>
    <x v="109"/>
    <x v="15"/>
    <x v="0"/>
    <x v="1"/>
    <x v="12"/>
    <x v="1"/>
    <x v="0"/>
    <x v="4"/>
    <x v="6"/>
    <x v="0"/>
    <x v="2"/>
    <x v="1"/>
    <x v="1"/>
    <x v="2"/>
  </r>
  <r>
    <n v="135"/>
    <x v="0"/>
    <x v="1"/>
    <x v="0"/>
    <x v="0"/>
    <x v="22"/>
    <x v="2"/>
    <x v="0"/>
    <x v="14"/>
    <x v="2"/>
    <x v="1"/>
    <x v="2"/>
    <x v="0"/>
    <x v="0"/>
    <x v="1"/>
    <x v="0"/>
    <x v="0"/>
    <x v="0"/>
  </r>
  <r>
    <n v="136"/>
    <x v="2"/>
    <x v="0"/>
    <x v="0"/>
    <x v="1"/>
    <x v="31"/>
    <x v="0"/>
    <x v="0"/>
    <x v="17"/>
    <x v="0"/>
    <x v="0"/>
    <x v="0"/>
    <x v="4"/>
    <x v="0"/>
    <x v="1"/>
    <x v="0"/>
    <x v="0"/>
    <x v="0"/>
  </r>
  <r>
    <n v="137"/>
    <x v="1"/>
    <x v="1"/>
    <x v="1"/>
    <x v="106"/>
    <x v="45"/>
    <x v="4"/>
    <x v="1"/>
    <x v="31"/>
    <x v="3"/>
    <x v="1"/>
    <x v="4"/>
    <x v="6"/>
    <x v="0"/>
    <x v="2"/>
    <x v="1"/>
    <x v="0"/>
    <x v="2"/>
  </r>
  <r>
    <n v="138"/>
    <x v="4"/>
    <x v="0"/>
    <x v="1"/>
    <x v="105"/>
    <x v="10"/>
    <x v="0"/>
    <x v="0"/>
    <x v="11"/>
    <x v="2"/>
    <x v="0"/>
    <x v="2"/>
    <x v="0"/>
    <x v="0"/>
    <x v="1"/>
    <x v="0"/>
    <x v="0"/>
    <x v="0"/>
  </r>
  <r>
    <n v="139"/>
    <x v="0"/>
    <x v="1"/>
    <x v="0"/>
    <x v="108"/>
    <x v="20"/>
    <x v="2"/>
    <x v="0"/>
    <x v="22"/>
    <x v="0"/>
    <x v="1"/>
    <x v="0"/>
    <x v="4"/>
    <x v="0"/>
    <x v="1"/>
    <x v="0"/>
    <x v="0"/>
    <x v="0"/>
  </r>
  <r>
    <n v="140"/>
    <x v="2"/>
    <x v="0"/>
    <x v="0"/>
    <x v="109"/>
    <x v="8"/>
    <x v="0"/>
    <x v="1"/>
    <x v="6"/>
    <x v="1"/>
    <x v="0"/>
    <x v="4"/>
    <x v="6"/>
    <x v="0"/>
    <x v="2"/>
    <x v="1"/>
    <x v="1"/>
    <x v="2"/>
  </r>
  <r>
    <n v="141"/>
    <x v="1"/>
    <x v="1"/>
    <x v="1"/>
    <x v="0"/>
    <x v="19"/>
    <x v="4"/>
    <x v="0"/>
    <x v="18"/>
    <x v="2"/>
    <x v="1"/>
    <x v="2"/>
    <x v="0"/>
    <x v="0"/>
    <x v="1"/>
    <x v="0"/>
    <x v="0"/>
    <x v="0"/>
  </r>
  <r>
    <n v="142"/>
    <x v="4"/>
    <x v="0"/>
    <x v="1"/>
    <x v="1"/>
    <x v="0"/>
    <x v="0"/>
    <x v="0"/>
    <x v="19"/>
    <x v="0"/>
    <x v="0"/>
    <x v="0"/>
    <x v="4"/>
    <x v="0"/>
    <x v="1"/>
    <x v="0"/>
    <x v="0"/>
    <x v="0"/>
  </r>
  <r>
    <n v="143"/>
    <x v="0"/>
    <x v="1"/>
    <x v="0"/>
    <x v="106"/>
    <x v="36"/>
    <x v="2"/>
    <x v="1"/>
    <x v="32"/>
    <x v="3"/>
    <x v="1"/>
    <x v="4"/>
    <x v="6"/>
    <x v="0"/>
    <x v="2"/>
    <x v="1"/>
    <x v="0"/>
    <x v="2"/>
  </r>
  <r>
    <n v="144"/>
    <x v="2"/>
    <x v="0"/>
    <x v="0"/>
    <x v="105"/>
    <x v="38"/>
    <x v="0"/>
    <x v="0"/>
    <x v="3"/>
    <x v="2"/>
    <x v="0"/>
    <x v="2"/>
    <x v="0"/>
    <x v="0"/>
    <x v="1"/>
    <x v="0"/>
    <x v="0"/>
    <x v="0"/>
  </r>
  <r>
    <n v="145"/>
    <x v="1"/>
    <x v="1"/>
    <x v="1"/>
    <x v="108"/>
    <x v="43"/>
    <x v="4"/>
    <x v="0"/>
    <x v="23"/>
    <x v="0"/>
    <x v="1"/>
    <x v="0"/>
    <x v="4"/>
    <x v="0"/>
    <x v="1"/>
    <x v="0"/>
    <x v="0"/>
    <x v="0"/>
  </r>
  <r>
    <n v="146"/>
    <x v="4"/>
    <x v="0"/>
    <x v="1"/>
    <x v="109"/>
    <x v="26"/>
    <x v="0"/>
    <x v="1"/>
    <x v="33"/>
    <x v="1"/>
    <x v="0"/>
    <x v="4"/>
    <x v="6"/>
    <x v="0"/>
    <x v="2"/>
    <x v="1"/>
    <x v="1"/>
    <x v="2"/>
  </r>
  <r>
    <n v="147"/>
    <x v="0"/>
    <x v="1"/>
    <x v="0"/>
    <x v="0"/>
    <x v="4"/>
    <x v="2"/>
    <x v="0"/>
    <x v="24"/>
    <x v="2"/>
    <x v="1"/>
    <x v="2"/>
    <x v="0"/>
    <x v="0"/>
    <x v="0"/>
    <x v="1"/>
    <x v="0"/>
    <x v="0"/>
  </r>
  <r>
    <n v="148"/>
    <x v="2"/>
    <x v="0"/>
    <x v="0"/>
    <x v="1"/>
    <x v="17"/>
    <x v="0"/>
    <x v="0"/>
    <x v="2"/>
    <x v="0"/>
    <x v="0"/>
    <x v="0"/>
    <x v="4"/>
    <x v="0"/>
    <x v="1"/>
    <x v="2"/>
    <x v="0"/>
    <x v="0"/>
  </r>
  <r>
    <n v="149"/>
    <x v="1"/>
    <x v="1"/>
    <x v="1"/>
    <x v="106"/>
    <x v="14"/>
    <x v="4"/>
    <x v="1"/>
    <x v="34"/>
    <x v="3"/>
    <x v="1"/>
    <x v="4"/>
    <x v="6"/>
    <x v="0"/>
    <x v="0"/>
    <x v="1"/>
    <x v="0"/>
    <x v="2"/>
  </r>
  <r>
    <n v="150"/>
    <x v="4"/>
    <x v="0"/>
    <x v="1"/>
    <x v="105"/>
    <x v="27"/>
    <x v="0"/>
    <x v="0"/>
    <x v="9"/>
    <x v="2"/>
    <x v="0"/>
    <x v="2"/>
    <x v="0"/>
    <x v="0"/>
    <x v="0"/>
    <x v="1"/>
    <x v="0"/>
    <x v="0"/>
  </r>
  <r>
    <n v="151"/>
    <x v="0"/>
    <x v="1"/>
    <x v="0"/>
    <x v="108"/>
    <x v="22"/>
    <x v="2"/>
    <x v="0"/>
    <x v="35"/>
    <x v="0"/>
    <x v="1"/>
    <x v="0"/>
    <x v="4"/>
    <x v="0"/>
    <x v="0"/>
    <x v="2"/>
    <x v="0"/>
    <x v="0"/>
  </r>
  <r>
    <n v="152"/>
    <x v="2"/>
    <x v="0"/>
    <x v="0"/>
    <x v="109"/>
    <x v="30"/>
    <x v="0"/>
    <x v="1"/>
    <x v="36"/>
    <x v="1"/>
    <x v="0"/>
    <x v="4"/>
    <x v="6"/>
    <x v="0"/>
    <x v="0"/>
    <x v="1"/>
    <x v="1"/>
    <x v="2"/>
  </r>
  <r>
    <n v="153"/>
    <x v="1"/>
    <x v="1"/>
    <x v="1"/>
    <x v="0"/>
    <x v="44"/>
    <x v="4"/>
    <x v="0"/>
    <x v="16"/>
    <x v="2"/>
    <x v="1"/>
    <x v="2"/>
    <x v="0"/>
    <x v="0"/>
    <x v="0"/>
    <x v="1"/>
    <x v="0"/>
    <x v="0"/>
  </r>
  <r>
    <n v="154"/>
    <x v="4"/>
    <x v="0"/>
    <x v="1"/>
    <x v="1"/>
    <x v="10"/>
    <x v="0"/>
    <x v="0"/>
    <x v="37"/>
    <x v="0"/>
    <x v="0"/>
    <x v="0"/>
    <x v="4"/>
    <x v="0"/>
    <x v="1"/>
    <x v="2"/>
    <x v="0"/>
    <x v="0"/>
  </r>
  <r>
    <n v="155"/>
    <x v="0"/>
    <x v="1"/>
    <x v="0"/>
    <x v="106"/>
    <x v="18"/>
    <x v="2"/>
    <x v="1"/>
    <x v="38"/>
    <x v="3"/>
    <x v="1"/>
    <x v="4"/>
    <x v="6"/>
    <x v="1"/>
    <x v="0"/>
    <x v="1"/>
    <x v="0"/>
    <x v="2"/>
  </r>
  <r>
    <n v="156"/>
    <x v="2"/>
    <x v="0"/>
    <x v="0"/>
    <x v="105"/>
    <x v="15"/>
    <x v="0"/>
    <x v="0"/>
    <x v="21"/>
    <x v="2"/>
    <x v="0"/>
    <x v="2"/>
    <x v="0"/>
    <x v="0"/>
    <x v="0"/>
    <x v="1"/>
    <x v="0"/>
    <x v="0"/>
  </r>
  <r>
    <n v="157"/>
    <x v="1"/>
    <x v="1"/>
    <x v="1"/>
    <x v="108"/>
    <x v="19"/>
    <x v="4"/>
    <x v="0"/>
    <x v="39"/>
    <x v="0"/>
    <x v="1"/>
    <x v="0"/>
    <x v="4"/>
    <x v="0"/>
    <x v="1"/>
    <x v="2"/>
    <x v="0"/>
    <x v="0"/>
  </r>
  <r>
    <n v="158"/>
    <x v="4"/>
    <x v="0"/>
    <x v="1"/>
    <x v="109"/>
    <x v="46"/>
    <x v="0"/>
    <x v="1"/>
    <x v="40"/>
    <x v="1"/>
    <x v="0"/>
    <x v="4"/>
    <x v="6"/>
    <x v="1"/>
    <x v="0"/>
    <x v="1"/>
    <x v="1"/>
    <x v="2"/>
  </r>
  <r>
    <n v="159"/>
    <x v="0"/>
    <x v="1"/>
    <x v="0"/>
    <x v="0"/>
    <x v="45"/>
    <x v="2"/>
    <x v="0"/>
    <x v="1"/>
    <x v="2"/>
    <x v="1"/>
    <x v="2"/>
    <x v="0"/>
    <x v="0"/>
    <x v="0"/>
    <x v="1"/>
    <x v="0"/>
    <x v="0"/>
  </r>
  <r>
    <n v="160"/>
    <x v="2"/>
    <x v="0"/>
    <x v="0"/>
    <x v="1"/>
    <x v="38"/>
    <x v="0"/>
    <x v="0"/>
    <x v="41"/>
    <x v="0"/>
    <x v="0"/>
    <x v="0"/>
    <x v="4"/>
    <x v="0"/>
    <x v="1"/>
    <x v="2"/>
    <x v="0"/>
    <x v="0"/>
  </r>
  <r>
    <n v="161"/>
    <x v="0"/>
    <x v="0"/>
    <x v="0"/>
    <x v="0"/>
    <x v="20"/>
    <x v="0"/>
    <x v="0"/>
    <x v="28"/>
    <x v="2"/>
    <x v="1"/>
    <x v="0"/>
    <x v="4"/>
    <x v="0"/>
    <x v="0"/>
    <x v="0"/>
    <x v="0"/>
    <x v="0"/>
  </r>
  <r>
    <n v="162"/>
    <x v="4"/>
    <x v="1"/>
    <x v="1"/>
    <x v="1"/>
    <x v="10"/>
    <x v="4"/>
    <x v="1"/>
    <x v="9"/>
    <x v="3"/>
    <x v="0"/>
    <x v="4"/>
    <x v="7"/>
    <x v="0"/>
    <x v="0"/>
    <x v="1"/>
    <x v="0"/>
    <x v="2"/>
  </r>
  <r>
    <n v="163"/>
    <x v="2"/>
    <x v="0"/>
    <x v="0"/>
    <x v="106"/>
    <x v="11"/>
    <x v="2"/>
    <x v="0"/>
    <x v="15"/>
    <x v="0"/>
    <x v="1"/>
    <x v="2"/>
    <x v="0"/>
    <x v="0"/>
    <x v="1"/>
    <x v="0"/>
    <x v="0"/>
    <x v="0"/>
  </r>
  <r>
    <n v="164"/>
    <x v="1"/>
    <x v="1"/>
    <x v="1"/>
    <x v="105"/>
    <x v="19"/>
    <x v="0"/>
    <x v="0"/>
    <x v="27"/>
    <x v="2"/>
    <x v="0"/>
    <x v="0"/>
    <x v="4"/>
    <x v="0"/>
    <x v="0"/>
    <x v="0"/>
    <x v="0"/>
    <x v="0"/>
  </r>
  <r>
    <n v="165"/>
    <x v="0"/>
    <x v="0"/>
    <x v="0"/>
    <x v="108"/>
    <x v="43"/>
    <x v="4"/>
    <x v="1"/>
    <x v="3"/>
    <x v="3"/>
    <x v="1"/>
    <x v="4"/>
    <x v="6"/>
    <x v="0"/>
    <x v="0"/>
    <x v="0"/>
    <x v="0"/>
    <x v="2"/>
  </r>
  <r>
    <n v="166"/>
    <x v="4"/>
    <x v="1"/>
    <x v="1"/>
    <x v="109"/>
    <x v="31"/>
    <x v="2"/>
    <x v="0"/>
    <x v="4"/>
    <x v="0"/>
    <x v="0"/>
    <x v="2"/>
    <x v="0"/>
    <x v="0"/>
    <x v="1"/>
    <x v="0"/>
    <x v="0"/>
    <x v="0"/>
  </r>
  <r>
    <n v="167"/>
    <x v="2"/>
    <x v="0"/>
    <x v="0"/>
    <x v="0"/>
    <x v="22"/>
    <x v="0"/>
    <x v="0"/>
    <x v="26"/>
    <x v="2"/>
    <x v="1"/>
    <x v="0"/>
    <x v="4"/>
    <x v="0"/>
    <x v="0"/>
    <x v="0"/>
    <x v="0"/>
    <x v="0"/>
  </r>
  <r>
    <n v="168"/>
    <x v="1"/>
    <x v="1"/>
    <x v="1"/>
    <x v="1"/>
    <x v="0"/>
    <x v="4"/>
    <x v="1"/>
    <x v="24"/>
    <x v="3"/>
    <x v="0"/>
    <x v="4"/>
    <x v="7"/>
    <x v="0"/>
    <x v="0"/>
    <x v="1"/>
    <x v="0"/>
    <x v="2"/>
  </r>
  <r>
    <n v="169"/>
    <x v="0"/>
    <x v="0"/>
    <x v="0"/>
    <x v="106"/>
    <x v="33"/>
    <x v="2"/>
    <x v="0"/>
    <x v="8"/>
    <x v="0"/>
    <x v="1"/>
    <x v="2"/>
    <x v="0"/>
    <x v="0"/>
    <x v="1"/>
    <x v="0"/>
    <x v="0"/>
    <x v="0"/>
  </r>
  <r>
    <n v="170"/>
    <x v="4"/>
    <x v="1"/>
    <x v="1"/>
    <x v="105"/>
    <x v="38"/>
    <x v="0"/>
    <x v="0"/>
    <x v="0"/>
    <x v="2"/>
    <x v="0"/>
    <x v="0"/>
    <x v="4"/>
    <x v="0"/>
    <x v="0"/>
    <x v="0"/>
    <x v="0"/>
    <x v="0"/>
  </r>
  <r>
    <n v="171"/>
    <x v="2"/>
    <x v="0"/>
    <x v="0"/>
    <x v="108"/>
    <x v="17"/>
    <x v="4"/>
    <x v="1"/>
    <x v="16"/>
    <x v="3"/>
    <x v="1"/>
    <x v="4"/>
    <x v="6"/>
    <x v="0"/>
    <x v="0"/>
    <x v="1"/>
    <x v="0"/>
    <x v="2"/>
  </r>
  <r>
    <n v="172"/>
    <x v="1"/>
    <x v="1"/>
    <x v="1"/>
    <x v="109"/>
    <x v="20"/>
    <x v="2"/>
    <x v="0"/>
    <x v="13"/>
    <x v="0"/>
    <x v="0"/>
    <x v="2"/>
    <x v="0"/>
    <x v="0"/>
    <x v="1"/>
    <x v="0"/>
    <x v="0"/>
    <x v="0"/>
  </r>
  <r>
    <n v="173"/>
    <x v="0"/>
    <x v="0"/>
    <x v="0"/>
    <x v="0"/>
    <x v="10"/>
    <x v="0"/>
    <x v="0"/>
    <x v="20"/>
    <x v="2"/>
    <x v="1"/>
    <x v="0"/>
    <x v="4"/>
    <x v="0"/>
    <x v="0"/>
    <x v="0"/>
    <x v="0"/>
    <x v="0"/>
  </r>
  <r>
    <n v="174"/>
    <x v="4"/>
    <x v="1"/>
    <x v="1"/>
    <x v="1"/>
    <x v="43"/>
    <x v="4"/>
    <x v="1"/>
    <x v="21"/>
    <x v="3"/>
    <x v="0"/>
    <x v="4"/>
    <x v="7"/>
    <x v="0"/>
    <x v="1"/>
    <x v="1"/>
    <x v="0"/>
    <x v="2"/>
  </r>
  <r>
    <n v="175"/>
    <x v="2"/>
    <x v="0"/>
    <x v="0"/>
    <x v="106"/>
    <x v="23"/>
    <x v="2"/>
    <x v="0"/>
    <x v="25"/>
    <x v="0"/>
    <x v="1"/>
    <x v="2"/>
    <x v="0"/>
    <x v="0"/>
    <x v="1"/>
    <x v="0"/>
    <x v="0"/>
    <x v="0"/>
  </r>
  <r>
    <n v="176"/>
    <x v="1"/>
    <x v="1"/>
    <x v="1"/>
    <x v="105"/>
    <x v="4"/>
    <x v="0"/>
    <x v="0"/>
    <x v="14"/>
    <x v="2"/>
    <x v="0"/>
    <x v="0"/>
    <x v="4"/>
    <x v="0"/>
    <x v="0"/>
    <x v="0"/>
    <x v="0"/>
    <x v="0"/>
  </r>
  <r>
    <n v="177"/>
    <x v="0"/>
    <x v="0"/>
    <x v="0"/>
    <x v="108"/>
    <x v="22"/>
    <x v="4"/>
    <x v="1"/>
    <x v="1"/>
    <x v="3"/>
    <x v="1"/>
    <x v="4"/>
    <x v="6"/>
    <x v="0"/>
    <x v="1"/>
    <x v="1"/>
    <x v="0"/>
    <x v="2"/>
  </r>
  <r>
    <n v="178"/>
    <x v="4"/>
    <x v="1"/>
    <x v="1"/>
    <x v="109"/>
    <x v="0"/>
    <x v="2"/>
    <x v="0"/>
    <x v="10"/>
    <x v="0"/>
    <x v="0"/>
    <x v="2"/>
    <x v="0"/>
    <x v="0"/>
    <x v="1"/>
    <x v="0"/>
    <x v="0"/>
    <x v="0"/>
  </r>
  <r>
    <n v="179"/>
    <x v="2"/>
    <x v="0"/>
    <x v="0"/>
    <x v="0"/>
    <x v="19"/>
    <x v="0"/>
    <x v="0"/>
    <x v="11"/>
    <x v="2"/>
    <x v="1"/>
    <x v="0"/>
    <x v="4"/>
    <x v="0"/>
    <x v="2"/>
    <x v="0"/>
    <x v="0"/>
    <x v="0"/>
  </r>
  <r>
    <n v="180"/>
    <x v="1"/>
    <x v="1"/>
    <x v="1"/>
    <x v="1"/>
    <x v="17"/>
    <x v="4"/>
    <x v="1"/>
    <x v="29"/>
    <x v="3"/>
    <x v="0"/>
    <x v="4"/>
    <x v="7"/>
    <x v="0"/>
    <x v="1"/>
    <x v="1"/>
    <x v="0"/>
    <x v="2"/>
  </r>
  <r>
    <n v="181"/>
    <x v="0"/>
    <x v="0"/>
    <x v="0"/>
    <x v="106"/>
    <x v="7"/>
    <x v="2"/>
    <x v="0"/>
    <x v="17"/>
    <x v="0"/>
    <x v="1"/>
    <x v="2"/>
    <x v="0"/>
    <x v="0"/>
    <x v="1"/>
    <x v="0"/>
    <x v="0"/>
    <x v="0"/>
  </r>
  <r>
    <n v="182"/>
    <x v="4"/>
    <x v="1"/>
    <x v="1"/>
    <x v="105"/>
    <x v="27"/>
    <x v="0"/>
    <x v="0"/>
    <x v="18"/>
    <x v="2"/>
    <x v="0"/>
    <x v="0"/>
    <x v="4"/>
    <x v="0"/>
    <x v="2"/>
    <x v="0"/>
    <x v="0"/>
    <x v="0"/>
  </r>
  <r>
    <n v="183"/>
    <x v="2"/>
    <x v="0"/>
    <x v="0"/>
    <x v="108"/>
    <x v="10"/>
    <x v="4"/>
    <x v="1"/>
    <x v="30"/>
    <x v="3"/>
    <x v="1"/>
    <x v="4"/>
    <x v="6"/>
    <x v="0"/>
    <x v="1"/>
    <x v="1"/>
    <x v="0"/>
    <x v="2"/>
  </r>
  <r>
    <n v="184"/>
    <x v="1"/>
    <x v="1"/>
    <x v="1"/>
    <x v="109"/>
    <x v="43"/>
    <x v="2"/>
    <x v="0"/>
    <x v="22"/>
    <x v="0"/>
    <x v="0"/>
    <x v="2"/>
    <x v="0"/>
    <x v="0"/>
    <x v="1"/>
    <x v="0"/>
    <x v="0"/>
    <x v="0"/>
  </r>
  <r>
    <n v="185"/>
    <x v="0"/>
    <x v="0"/>
    <x v="0"/>
    <x v="0"/>
    <x v="38"/>
    <x v="0"/>
    <x v="0"/>
    <x v="3"/>
    <x v="2"/>
    <x v="1"/>
    <x v="0"/>
    <x v="4"/>
    <x v="0"/>
    <x v="2"/>
    <x v="0"/>
    <x v="0"/>
    <x v="0"/>
  </r>
  <r>
    <n v="186"/>
    <x v="4"/>
    <x v="1"/>
    <x v="1"/>
    <x v="1"/>
    <x v="22"/>
    <x v="4"/>
    <x v="1"/>
    <x v="12"/>
    <x v="3"/>
    <x v="0"/>
    <x v="4"/>
    <x v="7"/>
    <x v="0"/>
    <x v="1"/>
    <x v="1"/>
    <x v="0"/>
    <x v="2"/>
  </r>
  <r>
    <n v="187"/>
    <x v="2"/>
    <x v="0"/>
    <x v="0"/>
    <x v="106"/>
    <x v="29"/>
    <x v="2"/>
    <x v="0"/>
    <x v="19"/>
    <x v="0"/>
    <x v="1"/>
    <x v="2"/>
    <x v="0"/>
    <x v="0"/>
    <x v="1"/>
    <x v="0"/>
    <x v="0"/>
    <x v="0"/>
  </r>
  <r>
    <n v="188"/>
    <x v="1"/>
    <x v="1"/>
    <x v="1"/>
    <x v="105"/>
    <x v="44"/>
    <x v="0"/>
    <x v="0"/>
    <x v="24"/>
    <x v="2"/>
    <x v="0"/>
    <x v="0"/>
    <x v="4"/>
    <x v="0"/>
    <x v="2"/>
    <x v="1"/>
    <x v="0"/>
    <x v="0"/>
  </r>
  <r>
    <n v="189"/>
    <x v="0"/>
    <x v="0"/>
    <x v="0"/>
    <x v="108"/>
    <x v="19"/>
    <x v="4"/>
    <x v="1"/>
    <x v="31"/>
    <x v="3"/>
    <x v="1"/>
    <x v="4"/>
    <x v="6"/>
    <x v="0"/>
    <x v="1"/>
    <x v="1"/>
    <x v="0"/>
    <x v="2"/>
  </r>
  <r>
    <n v="190"/>
    <x v="4"/>
    <x v="1"/>
    <x v="1"/>
    <x v="109"/>
    <x v="17"/>
    <x v="2"/>
    <x v="0"/>
    <x v="23"/>
    <x v="0"/>
    <x v="0"/>
    <x v="2"/>
    <x v="0"/>
    <x v="0"/>
    <x v="1"/>
    <x v="0"/>
    <x v="0"/>
    <x v="0"/>
  </r>
  <r>
    <n v="191"/>
    <x v="2"/>
    <x v="0"/>
    <x v="0"/>
    <x v="0"/>
    <x v="4"/>
    <x v="0"/>
    <x v="0"/>
    <x v="9"/>
    <x v="2"/>
    <x v="1"/>
    <x v="0"/>
    <x v="4"/>
    <x v="0"/>
    <x v="2"/>
    <x v="1"/>
    <x v="0"/>
    <x v="0"/>
  </r>
  <r>
    <n v="192"/>
    <x v="1"/>
    <x v="1"/>
    <x v="1"/>
    <x v="1"/>
    <x v="10"/>
    <x v="4"/>
    <x v="1"/>
    <x v="6"/>
    <x v="3"/>
    <x v="0"/>
    <x v="4"/>
    <x v="7"/>
    <x v="0"/>
    <x v="1"/>
    <x v="1"/>
    <x v="0"/>
    <x v="2"/>
  </r>
  <r>
    <n v="193"/>
    <x v="0"/>
    <x v="0"/>
    <x v="0"/>
    <x v="106"/>
    <x v="2"/>
    <x v="2"/>
    <x v="0"/>
    <x v="2"/>
    <x v="0"/>
    <x v="1"/>
    <x v="2"/>
    <x v="0"/>
    <x v="0"/>
    <x v="1"/>
    <x v="2"/>
    <x v="0"/>
    <x v="0"/>
  </r>
  <r>
    <n v="194"/>
    <x v="4"/>
    <x v="1"/>
    <x v="1"/>
    <x v="105"/>
    <x v="15"/>
    <x v="0"/>
    <x v="0"/>
    <x v="16"/>
    <x v="2"/>
    <x v="0"/>
    <x v="0"/>
    <x v="4"/>
    <x v="0"/>
    <x v="2"/>
    <x v="1"/>
    <x v="0"/>
    <x v="0"/>
  </r>
  <r>
    <n v="195"/>
    <x v="2"/>
    <x v="0"/>
    <x v="0"/>
    <x v="108"/>
    <x v="38"/>
    <x v="4"/>
    <x v="1"/>
    <x v="32"/>
    <x v="3"/>
    <x v="1"/>
    <x v="4"/>
    <x v="6"/>
    <x v="0"/>
    <x v="1"/>
    <x v="1"/>
    <x v="0"/>
    <x v="2"/>
  </r>
  <r>
    <n v="196"/>
    <x v="1"/>
    <x v="1"/>
    <x v="1"/>
    <x v="109"/>
    <x v="22"/>
    <x v="2"/>
    <x v="0"/>
    <x v="35"/>
    <x v="0"/>
    <x v="0"/>
    <x v="2"/>
    <x v="0"/>
    <x v="0"/>
    <x v="1"/>
    <x v="2"/>
    <x v="0"/>
    <x v="0"/>
  </r>
  <r>
    <n v="197"/>
    <x v="0"/>
    <x v="0"/>
    <x v="0"/>
    <x v="0"/>
    <x v="27"/>
    <x v="0"/>
    <x v="0"/>
    <x v="21"/>
    <x v="2"/>
    <x v="1"/>
    <x v="0"/>
    <x v="4"/>
    <x v="0"/>
    <x v="2"/>
    <x v="1"/>
    <x v="0"/>
    <x v="0"/>
  </r>
  <r>
    <n v="198"/>
    <x v="4"/>
    <x v="1"/>
    <x v="1"/>
    <x v="1"/>
    <x v="19"/>
    <x v="4"/>
    <x v="1"/>
    <x v="33"/>
    <x v="3"/>
    <x v="0"/>
    <x v="4"/>
    <x v="7"/>
    <x v="0"/>
    <x v="1"/>
    <x v="1"/>
    <x v="0"/>
    <x v="2"/>
  </r>
  <r>
    <n v="199"/>
    <x v="2"/>
    <x v="0"/>
    <x v="0"/>
    <x v="106"/>
    <x v="25"/>
    <x v="2"/>
    <x v="0"/>
    <x v="37"/>
    <x v="0"/>
    <x v="1"/>
    <x v="2"/>
    <x v="0"/>
    <x v="0"/>
    <x v="1"/>
    <x v="2"/>
    <x v="0"/>
    <x v="0"/>
  </r>
  <r>
    <n v="200"/>
    <x v="1"/>
    <x v="1"/>
    <x v="1"/>
    <x v="105"/>
    <x v="45"/>
    <x v="0"/>
    <x v="0"/>
    <x v="1"/>
    <x v="2"/>
    <x v="0"/>
    <x v="0"/>
    <x v="4"/>
    <x v="0"/>
    <x v="2"/>
    <x v="1"/>
    <x v="0"/>
    <x v="0"/>
  </r>
  <r>
    <n v="201"/>
    <x v="0"/>
    <x v="0"/>
    <x v="0"/>
    <x v="108"/>
    <x v="4"/>
    <x v="4"/>
    <x v="1"/>
    <x v="34"/>
    <x v="3"/>
    <x v="1"/>
    <x v="4"/>
    <x v="6"/>
    <x v="0"/>
    <x v="1"/>
    <x v="1"/>
    <x v="0"/>
    <x v="2"/>
  </r>
  <r>
    <n v="202"/>
    <x v="4"/>
    <x v="1"/>
    <x v="1"/>
    <x v="109"/>
    <x v="10"/>
    <x v="2"/>
    <x v="0"/>
    <x v="39"/>
    <x v="0"/>
    <x v="0"/>
    <x v="2"/>
    <x v="0"/>
    <x v="0"/>
    <x v="1"/>
    <x v="2"/>
    <x v="0"/>
    <x v="0"/>
  </r>
  <r>
    <n v="203"/>
    <x v="2"/>
    <x v="0"/>
    <x v="0"/>
    <x v="0"/>
    <x v="44"/>
    <x v="0"/>
    <x v="0"/>
    <x v="29"/>
    <x v="2"/>
    <x v="1"/>
    <x v="0"/>
    <x v="4"/>
    <x v="0"/>
    <x v="2"/>
    <x v="1"/>
    <x v="0"/>
    <x v="0"/>
  </r>
  <r>
    <n v="204"/>
    <x v="1"/>
    <x v="1"/>
    <x v="1"/>
    <x v="1"/>
    <x v="38"/>
    <x v="4"/>
    <x v="1"/>
    <x v="36"/>
    <x v="3"/>
    <x v="0"/>
    <x v="4"/>
    <x v="7"/>
    <x v="0"/>
    <x v="1"/>
    <x v="1"/>
    <x v="0"/>
    <x v="2"/>
  </r>
  <r>
    <n v="205"/>
    <x v="0"/>
    <x v="0"/>
    <x v="0"/>
    <x v="106"/>
    <x v="35"/>
    <x v="2"/>
    <x v="0"/>
    <x v="41"/>
    <x v="0"/>
    <x v="1"/>
    <x v="2"/>
    <x v="0"/>
    <x v="0"/>
    <x v="1"/>
    <x v="2"/>
    <x v="0"/>
    <x v="0"/>
  </r>
  <r>
    <n v="206"/>
    <x v="4"/>
    <x v="1"/>
    <x v="1"/>
    <x v="105"/>
    <x v="8"/>
    <x v="0"/>
    <x v="0"/>
    <x v="30"/>
    <x v="2"/>
    <x v="0"/>
    <x v="0"/>
    <x v="4"/>
    <x v="0"/>
    <x v="2"/>
    <x v="1"/>
    <x v="0"/>
    <x v="0"/>
  </r>
  <r>
    <n v="207"/>
    <x v="2"/>
    <x v="0"/>
    <x v="0"/>
    <x v="108"/>
    <x v="27"/>
    <x v="4"/>
    <x v="1"/>
    <x v="38"/>
    <x v="3"/>
    <x v="1"/>
    <x v="4"/>
    <x v="6"/>
    <x v="0"/>
    <x v="0"/>
    <x v="1"/>
    <x v="0"/>
    <x v="2"/>
  </r>
  <r>
    <n v="208"/>
    <x v="1"/>
    <x v="1"/>
    <x v="1"/>
    <x v="109"/>
    <x v="19"/>
    <x v="2"/>
    <x v="0"/>
    <x v="5"/>
    <x v="0"/>
    <x v="0"/>
    <x v="2"/>
    <x v="0"/>
    <x v="0"/>
    <x v="0"/>
    <x v="2"/>
    <x v="0"/>
    <x v="0"/>
  </r>
  <r>
    <n v="209"/>
    <x v="0"/>
    <x v="0"/>
    <x v="0"/>
    <x v="0"/>
    <x v="15"/>
    <x v="0"/>
    <x v="0"/>
    <x v="12"/>
    <x v="2"/>
    <x v="1"/>
    <x v="0"/>
    <x v="4"/>
    <x v="0"/>
    <x v="1"/>
    <x v="1"/>
    <x v="0"/>
    <x v="0"/>
  </r>
  <r>
    <n v="210"/>
    <x v="4"/>
    <x v="1"/>
    <x v="1"/>
    <x v="1"/>
    <x v="4"/>
    <x v="4"/>
    <x v="1"/>
    <x v="40"/>
    <x v="3"/>
    <x v="0"/>
    <x v="4"/>
    <x v="7"/>
    <x v="0"/>
    <x v="1"/>
    <x v="1"/>
    <x v="0"/>
    <x v="2"/>
  </r>
  <r>
    <n v="211"/>
    <x v="2"/>
    <x v="0"/>
    <x v="0"/>
    <x v="106"/>
    <x v="40"/>
    <x v="2"/>
    <x v="0"/>
    <x v="42"/>
    <x v="0"/>
    <x v="1"/>
    <x v="2"/>
    <x v="0"/>
    <x v="0"/>
    <x v="1"/>
    <x v="2"/>
    <x v="0"/>
    <x v="0"/>
  </r>
  <r>
    <n v="212"/>
    <x v="1"/>
    <x v="1"/>
    <x v="1"/>
    <x v="105"/>
    <x v="36"/>
    <x v="0"/>
    <x v="0"/>
    <x v="31"/>
    <x v="2"/>
    <x v="0"/>
    <x v="0"/>
    <x v="4"/>
    <x v="0"/>
    <x v="0"/>
    <x v="1"/>
    <x v="0"/>
    <x v="0"/>
  </r>
  <r>
    <n v="213"/>
    <x v="0"/>
    <x v="0"/>
    <x v="0"/>
    <x v="108"/>
    <x v="44"/>
    <x v="4"/>
    <x v="1"/>
    <x v="43"/>
    <x v="3"/>
    <x v="1"/>
    <x v="4"/>
    <x v="6"/>
    <x v="0"/>
    <x v="0"/>
    <x v="1"/>
    <x v="0"/>
    <x v="2"/>
  </r>
  <r>
    <n v="214"/>
    <x v="4"/>
    <x v="1"/>
    <x v="1"/>
    <x v="109"/>
    <x v="38"/>
    <x v="2"/>
    <x v="0"/>
    <x v="44"/>
    <x v="0"/>
    <x v="0"/>
    <x v="2"/>
    <x v="0"/>
    <x v="0"/>
    <x v="1"/>
    <x v="2"/>
    <x v="0"/>
    <x v="0"/>
  </r>
  <r>
    <n v="215"/>
    <x v="2"/>
    <x v="0"/>
    <x v="0"/>
    <x v="0"/>
    <x v="45"/>
    <x v="0"/>
    <x v="0"/>
    <x v="6"/>
    <x v="2"/>
    <x v="1"/>
    <x v="0"/>
    <x v="4"/>
    <x v="0"/>
    <x v="0"/>
    <x v="1"/>
    <x v="0"/>
    <x v="0"/>
  </r>
  <r>
    <n v="216"/>
    <x v="1"/>
    <x v="1"/>
    <x v="1"/>
    <x v="1"/>
    <x v="27"/>
    <x v="4"/>
    <x v="1"/>
    <x v="45"/>
    <x v="3"/>
    <x v="0"/>
    <x v="4"/>
    <x v="7"/>
    <x v="0"/>
    <x v="0"/>
    <x v="1"/>
    <x v="0"/>
    <x v="2"/>
  </r>
  <r>
    <n v="217"/>
    <x v="0"/>
    <x v="0"/>
    <x v="0"/>
    <x v="106"/>
    <x v="47"/>
    <x v="2"/>
    <x v="0"/>
    <x v="46"/>
    <x v="0"/>
    <x v="1"/>
    <x v="2"/>
    <x v="0"/>
    <x v="0"/>
    <x v="1"/>
    <x v="2"/>
    <x v="0"/>
    <x v="0"/>
  </r>
  <r>
    <n v="218"/>
    <x v="4"/>
    <x v="1"/>
    <x v="1"/>
    <x v="105"/>
    <x v="26"/>
    <x v="0"/>
    <x v="0"/>
    <x v="32"/>
    <x v="2"/>
    <x v="0"/>
    <x v="0"/>
    <x v="4"/>
    <x v="0"/>
    <x v="1"/>
    <x v="1"/>
    <x v="0"/>
    <x v="0"/>
  </r>
  <r>
    <n v="219"/>
    <x v="2"/>
    <x v="0"/>
    <x v="0"/>
    <x v="108"/>
    <x v="15"/>
    <x v="4"/>
    <x v="1"/>
    <x v="47"/>
    <x v="3"/>
    <x v="1"/>
    <x v="4"/>
    <x v="6"/>
    <x v="0"/>
    <x v="1"/>
    <x v="1"/>
    <x v="0"/>
    <x v="2"/>
  </r>
  <r>
    <n v="220"/>
    <x v="1"/>
    <x v="1"/>
    <x v="1"/>
    <x v="109"/>
    <x v="4"/>
    <x v="2"/>
    <x v="0"/>
    <x v="48"/>
    <x v="0"/>
    <x v="0"/>
    <x v="2"/>
    <x v="0"/>
    <x v="0"/>
    <x v="0"/>
    <x v="2"/>
    <x v="0"/>
    <x v="0"/>
  </r>
  <r>
    <n v="221"/>
    <x v="0"/>
    <x v="0"/>
    <x v="0"/>
    <x v="2"/>
    <x v="13"/>
    <x v="0"/>
    <x v="0"/>
    <x v="4"/>
    <x v="2"/>
    <x v="1"/>
    <x v="2"/>
    <x v="2"/>
    <x v="0"/>
    <x v="0"/>
    <x v="0"/>
    <x v="0"/>
    <x v="0"/>
  </r>
  <r>
    <n v="222"/>
    <x v="4"/>
    <x v="1"/>
    <x v="1"/>
    <x v="3"/>
    <x v="7"/>
    <x v="2"/>
    <x v="0"/>
    <x v="0"/>
    <x v="0"/>
    <x v="0"/>
    <x v="0"/>
    <x v="4"/>
    <x v="0"/>
    <x v="1"/>
    <x v="0"/>
    <x v="0"/>
    <x v="0"/>
  </r>
  <r>
    <n v="223"/>
    <x v="2"/>
    <x v="0"/>
    <x v="0"/>
    <x v="5"/>
    <x v="4"/>
    <x v="0"/>
    <x v="1"/>
    <x v="1"/>
    <x v="1"/>
    <x v="1"/>
    <x v="4"/>
    <x v="6"/>
    <x v="0"/>
    <x v="0"/>
    <x v="1"/>
    <x v="1"/>
    <x v="2"/>
  </r>
  <r>
    <n v="224"/>
    <x v="1"/>
    <x v="1"/>
    <x v="1"/>
    <x v="6"/>
    <x v="15"/>
    <x v="4"/>
    <x v="1"/>
    <x v="12"/>
    <x v="3"/>
    <x v="0"/>
    <x v="4"/>
    <x v="3"/>
    <x v="0"/>
    <x v="0"/>
    <x v="1"/>
    <x v="0"/>
    <x v="2"/>
  </r>
  <r>
    <n v="225"/>
    <x v="0"/>
    <x v="0"/>
    <x v="0"/>
    <x v="8"/>
    <x v="26"/>
    <x v="7"/>
    <x v="1"/>
    <x v="31"/>
    <x v="1"/>
    <x v="1"/>
    <x v="3"/>
    <x v="1"/>
    <x v="0"/>
    <x v="1"/>
    <x v="1"/>
    <x v="1"/>
    <x v="1"/>
  </r>
  <r>
    <n v="226"/>
    <x v="4"/>
    <x v="1"/>
    <x v="1"/>
    <x v="12"/>
    <x v="11"/>
    <x v="0"/>
    <x v="0"/>
    <x v="11"/>
    <x v="0"/>
    <x v="1"/>
    <x v="0"/>
    <x v="4"/>
    <x v="0"/>
    <x v="1"/>
    <x v="0"/>
    <x v="0"/>
    <x v="0"/>
  </r>
  <r>
    <n v="227"/>
    <x v="2"/>
    <x v="0"/>
    <x v="0"/>
    <x v="9"/>
    <x v="0"/>
    <x v="8"/>
    <x v="0"/>
    <x v="0"/>
    <x v="0"/>
    <x v="0"/>
    <x v="0"/>
    <x v="7"/>
    <x v="0"/>
    <x v="1"/>
    <x v="0"/>
    <x v="0"/>
    <x v="2"/>
  </r>
  <r>
    <n v="228"/>
    <x v="1"/>
    <x v="1"/>
    <x v="1"/>
    <x v="14"/>
    <x v="10"/>
    <x v="9"/>
    <x v="1"/>
    <x v="9"/>
    <x v="3"/>
    <x v="1"/>
    <x v="4"/>
    <x v="6"/>
    <x v="0"/>
    <x v="0"/>
    <x v="1"/>
    <x v="0"/>
    <x v="2"/>
  </r>
  <r>
    <n v="229"/>
    <x v="0"/>
    <x v="0"/>
    <x v="0"/>
    <x v="2"/>
    <x v="48"/>
    <x v="2"/>
    <x v="0"/>
    <x v="8"/>
    <x v="4"/>
    <x v="0"/>
    <x v="2"/>
    <x v="2"/>
    <x v="2"/>
    <x v="0"/>
    <x v="0"/>
    <x v="2"/>
    <x v="0"/>
  </r>
  <r>
    <n v="230"/>
    <x v="4"/>
    <x v="1"/>
    <x v="1"/>
    <x v="3"/>
    <x v="11"/>
    <x v="0"/>
    <x v="0"/>
    <x v="14"/>
    <x v="0"/>
    <x v="1"/>
    <x v="0"/>
    <x v="4"/>
    <x v="0"/>
    <x v="1"/>
    <x v="0"/>
    <x v="0"/>
    <x v="0"/>
  </r>
  <r>
    <n v="231"/>
    <x v="2"/>
    <x v="0"/>
    <x v="0"/>
    <x v="5"/>
    <x v="19"/>
    <x v="4"/>
    <x v="1"/>
    <x v="21"/>
    <x v="3"/>
    <x v="0"/>
    <x v="4"/>
    <x v="6"/>
    <x v="0"/>
    <x v="0"/>
    <x v="1"/>
    <x v="0"/>
    <x v="2"/>
  </r>
  <r>
    <n v="232"/>
    <x v="1"/>
    <x v="1"/>
    <x v="1"/>
    <x v="6"/>
    <x v="8"/>
    <x v="0"/>
    <x v="1"/>
    <x v="31"/>
    <x v="1"/>
    <x v="1"/>
    <x v="3"/>
    <x v="3"/>
    <x v="0"/>
    <x v="0"/>
    <x v="1"/>
    <x v="1"/>
    <x v="2"/>
  </r>
  <r>
    <n v="233"/>
    <x v="0"/>
    <x v="0"/>
    <x v="0"/>
    <x v="8"/>
    <x v="18"/>
    <x v="7"/>
    <x v="1"/>
    <x v="6"/>
    <x v="1"/>
    <x v="1"/>
    <x v="3"/>
    <x v="1"/>
    <x v="1"/>
    <x v="1"/>
    <x v="1"/>
    <x v="1"/>
    <x v="1"/>
  </r>
  <r>
    <n v="234"/>
    <x v="4"/>
    <x v="1"/>
    <x v="1"/>
    <x v="12"/>
    <x v="23"/>
    <x v="2"/>
    <x v="0"/>
    <x v="0"/>
    <x v="2"/>
    <x v="0"/>
    <x v="0"/>
    <x v="0"/>
    <x v="0"/>
    <x v="1"/>
    <x v="0"/>
    <x v="0"/>
    <x v="0"/>
  </r>
  <r>
    <n v="235"/>
    <x v="2"/>
    <x v="0"/>
    <x v="0"/>
    <x v="9"/>
    <x v="17"/>
    <x v="8"/>
    <x v="0"/>
    <x v="11"/>
    <x v="0"/>
    <x v="1"/>
    <x v="0"/>
    <x v="7"/>
    <x v="0"/>
    <x v="1"/>
    <x v="0"/>
    <x v="0"/>
    <x v="2"/>
  </r>
  <r>
    <n v="236"/>
    <x v="1"/>
    <x v="1"/>
    <x v="1"/>
    <x v="14"/>
    <x v="4"/>
    <x v="9"/>
    <x v="1"/>
    <x v="21"/>
    <x v="3"/>
    <x v="0"/>
    <x v="4"/>
    <x v="6"/>
    <x v="0"/>
    <x v="0"/>
    <x v="1"/>
    <x v="0"/>
    <x v="2"/>
  </r>
  <r>
    <n v="237"/>
    <x v="0"/>
    <x v="0"/>
    <x v="0"/>
    <x v="2"/>
    <x v="49"/>
    <x v="0"/>
    <x v="0"/>
    <x v="15"/>
    <x v="4"/>
    <x v="1"/>
    <x v="2"/>
    <x v="2"/>
    <x v="2"/>
    <x v="0"/>
    <x v="0"/>
    <x v="2"/>
    <x v="0"/>
  </r>
  <r>
    <n v="238"/>
    <x v="4"/>
    <x v="1"/>
    <x v="1"/>
    <x v="3"/>
    <x v="33"/>
    <x v="4"/>
    <x v="0"/>
    <x v="20"/>
    <x v="0"/>
    <x v="0"/>
    <x v="0"/>
    <x v="4"/>
    <x v="0"/>
    <x v="1"/>
    <x v="0"/>
    <x v="0"/>
    <x v="0"/>
  </r>
  <r>
    <n v="239"/>
    <x v="2"/>
    <x v="0"/>
    <x v="0"/>
    <x v="5"/>
    <x v="38"/>
    <x v="0"/>
    <x v="1"/>
    <x v="16"/>
    <x v="3"/>
    <x v="1"/>
    <x v="4"/>
    <x v="6"/>
    <x v="0"/>
    <x v="0"/>
    <x v="1"/>
    <x v="0"/>
    <x v="2"/>
  </r>
  <r>
    <n v="240"/>
    <x v="1"/>
    <x v="1"/>
    <x v="1"/>
    <x v="6"/>
    <x v="45"/>
    <x v="4"/>
    <x v="1"/>
    <x v="30"/>
    <x v="1"/>
    <x v="0"/>
    <x v="4"/>
    <x v="3"/>
    <x v="0"/>
    <x v="0"/>
    <x v="1"/>
    <x v="1"/>
    <x v="2"/>
  </r>
  <r>
    <n v="241"/>
    <x v="0"/>
    <x v="0"/>
    <x v="0"/>
    <x v="8"/>
    <x v="14"/>
    <x v="7"/>
    <x v="1"/>
    <x v="12"/>
    <x v="1"/>
    <x v="1"/>
    <x v="3"/>
    <x v="1"/>
    <x v="0"/>
    <x v="1"/>
    <x v="1"/>
    <x v="1"/>
    <x v="1"/>
  </r>
  <r>
    <n v="242"/>
    <x v="4"/>
    <x v="1"/>
    <x v="1"/>
    <x v="12"/>
    <x v="31"/>
    <x v="0"/>
    <x v="0"/>
    <x v="14"/>
    <x v="2"/>
    <x v="1"/>
    <x v="0"/>
    <x v="4"/>
    <x v="0"/>
    <x v="1"/>
    <x v="0"/>
    <x v="0"/>
    <x v="0"/>
  </r>
  <r>
    <n v="243"/>
    <x v="2"/>
    <x v="0"/>
    <x v="0"/>
    <x v="9"/>
    <x v="43"/>
    <x v="8"/>
    <x v="0"/>
    <x v="20"/>
    <x v="0"/>
    <x v="0"/>
    <x v="0"/>
    <x v="7"/>
    <x v="0"/>
    <x v="1"/>
    <x v="0"/>
    <x v="0"/>
    <x v="2"/>
  </r>
  <r>
    <n v="244"/>
    <x v="1"/>
    <x v="1"/>
    <x v="1"/>
    <x v="14"/>
    <x v="19"/>
    <x v="9"/>
    <x v="1"/>
    <x v="16"/>
    <x v="3"/>
    <x v="1"/>
    <x v="4"/>
    <x v="6"/>
    <x v="0"/>
    <x v="0"/>
    <x v="1"/>
    <x v="0"/>
    <x v="2"/>
  </r>
  <r>
    <n v="245"/>
    <x v="0"/>
    <x v="0"/>
    <x v="0"/>
    <x v="2"/>
    <x v="50"/>
    <x v="2"/>
    <x v="0"/>
    <x v="13"/>
    <x v="4"/>
    <x v="0"/>
    <x v="2"/>
    <x v="2"/>
    <x v="2"/>
    <x v="0"/>
    <x v="0"/>
    <x v="2"/>
    <x v="0"/>
  </r>
  <r>
    <n v="246"/>
    <x v="4"/>
    <x v="1"/>
    <x v="1"/>
    <x v="3"/>
    <x v="23"/>
    <x v="0"/>
    <x v="0"/>
    <x v="26"/>
    <x v="0"/>
    <x v="1"/>
    <x v="0"/>
    <x v="4"/>
    <x v="0"/>
    <x v="1"/>
    <x v="0"/>
    <x v="0"/>
    <x v="0"/>
  </r>
  <r>
    <n v="247"/>
    <x v="2"/>
    <x v="0"/>
    <x v="0"/>
    <x v="5"/>
    <x v="10"/>
    <x v="4"/>
    <x v="1"/>
    <x v="9"/>
    <x v="3"/>
    <x v="0"/>
    <x v="4"/>
    <x v="6"/>
    <x v="0"/>
    <x v="0"/>
    <x v="1"/>
    <x v="0"/>
    <x v="2"/>
  </r>
  <r>
    <n v="248"/>
    <x v="1"/>
    <x v="1"/>
    <x v="1"/>
    <x v="6"/>
    <x v="36"/>
    <x v="0"/>
    <x v="1"/>
    <x v="12"/>
    <x v="1"/>
    <x v="1"/>
    <x v="3"/>
    <x v="3"/>
    <x v="0"/>
    <x v="0"/>
    <x v="1"/>
    <x v="1"/>
    <x v="2"/>
  </r>
  <r>
    <n v="249"/>
    <x v="0"/>
    <x v="0"/>
    <x v="0"/>
    <x v="8"/>
    <x v="30"/>
    <x v="7"/>
    <x v="1"/>
    <x v="32"/>
    <x v="1"/>
    <x v="1"/>
    <x v="3"/>
    <x v="1"/>
    <x v="0"/>
    <x v="1"/>
    <x v="1"/>
    <x v="1"/>
    <x v="1"/>
  </r>
  <r>
    <n v="250"/>
    <x v="4"/>
    <x v="1"/>
    <x v="1"/>
    <x v="12"/>
    <x v="33"/>
    <x v="2"/>
    <x v="0"/>
    <x v="20"/>
    <x v="2"/>
    <x v="0"/>
    <x v="0"/>
    <x v="0"/>
    <x v="0"/>
    <x v="1"/>
    <x v="0"/>
    <x v="0"/>
    <x v="0"/>
  </r>
  <r>
    <n v="251"/>
    <x v="2"/>
    <x v="0"/>
    <x v="0"/>
    <x v="9"/>
    <x v="22"/>
    <x v="8"/>
    <x v="0"/>
    <x v="18"/>
    <x v="0"/>
    <x v="1"/>
    <x v="0"/>
    <x v="7"/>
    <x v="0"/>
    <x v="1"/>
    <x v="0"/>
    <x v="0"/>
    <x v="2"/>
  </r>
  <r>
    <n v="252"/>
    <x v="1"/>
    <x v="1"/>
    <x v="1"/>
    <x v="14"/>
    <x v="38"/>
    <x v="9"/>
    <x v="1"/>
    <x v="1"/>
    <x v="3"/>
    <x v="0"/>
    <x v="4"/>
    <x v="6"/>
    <x v="0"/>
    <x v="0"/>
    <x v="1"/>
    <x v="0"/>
    <x v="2"/>
  </r>
  <r>
    <n v="253"/>
    <x v="0"/>
    <x v="0"/>
    <x v="0"/>
    <x v="2"/>
    <x v="51"/>
    <x v="0"/>
    <x v="0"/>
    <x v="8"/>
    <x v="4"/>
    <x v="1"/>
    <x v="2"/>
    <x v="2"/>
    <x v="2"/>
    <x v="0"/>
    <x v="0"/>
    <x v="2"/>
    <x v="0"/>
  </r>
  <r>
    <n v="254"/>
    <x v="4"/>
    <x v="1"/>
    <x v="1"/>
    <x v="3"/>
    <x v="31"/>
    <x v="4"/>
    <x v="0"/>
    <x v="0"/>
    <x v="0"/>
    <x v="0"/>
    <x v="0"/>
    <x v="4"/>
    <x v="0"/>
    <x v="1"/>
    <x v="0"/>
    <x v="0"/>
    <x v="0"/>
  </r>
  <r>
    <n v="255"/>
    <x v="2"/>
    <x v="0"/>
    <x v="0"/>
    <x v="5"/>
    <x v="27"/>
    <x v="0"/>
    <x v="1"/>
    <x v="21"/>
    <x v="3"/>
    <x v="1"/>
    <x v="4"/>
    <x v="6"/>
    <x v="0"/>
    <x v="0"/>
    <x v="1"/>
    <x v="0"/>
    <x v="2"/>
  </r>
  <r>
    <n v="256"/>
    <x v="1"/>
    <x v="1"/>
    <x v="1"/>
    <x v="6"/>
    <x v="8"/>
    <x v="4"/>
    <x v="1"/>
    <x v="29"/>
    <x v="1"/>
    <x v="0"/>
    <x v="4"/>
    <x v="3"/>
    <x v="0"/>
    <x v="0"/>
    <x v="1"/>
    <x v="1"/>
    <x v="2"/>
  </r>
  <r>
    <n v="257"/>
    <x v="0"/>
    <x v="0"/>
    <x v="0"/>
    <x v="8"/>
    <x v="46"/>
    <x v="7"/>
    <x v="1"/>
    <x v="33"/>
    <x v="1"/>
    <x v="1"/>
    <x v="3"/>
    <x v="1"/>
    <x v="1"/>
    <x v="1"/>
    <x v="1"/>
    <x v="1"/>
    <x v="1"/>
  </r>
  <r>
    <n v="258"/>
    <x v="4"/>
    <x v="1"/>
    <x v="1"/>
    <x v="12"/>
    <x v="20"/>
    <x v="0"/>
    <x v="0"/>
    <x v="11"/>
    <x v="2"/>
    <x v="1"/>
    <x v="0"/>
    <x v="4"/>
    <x v="0"/>
    <x v="1"/>
    <x v="0"/>
    <x v="0"/>
    <x v="0"/>
  </r>
  <r>
    <n v="259"/>
    <x v="2"/>
    <x v="0"/>
    <x v="0"/>
    <x v="9"/>
    <x v="17"/>
    <x v="8"/>
    <x v="0"/>
    <x v="14"/>
    <x v="0"/>
    <x v="0"/>
    <x v="0"/>
    <x v="7"/>
    <x v="0"/>
    <x v="1"/>
    <x v="0"/>
    <x v="0"/>
    <x v="2"/>
  </r>
  <r>
    <n v="260"/>
    <x v="1"/>
    <x v="1"/>
    <x v="1"/>
    <x v="14"/>
    <x v="27"/>
    <x v="9"/>
    <x v="1"/>
    <x v="29"/>
    <x v="3"/>
    <x v="1"/>
    <x v="4"/>
    <x v="6"/>
    <x v="0"/>
    <x v="0"/>
    <x v="1"/>
    <x v="0"/>
    <x v="2"/>
  </r>
  <r>
    <n v="261"/>
    <x v="0"/>
    <x v="0"/>
    <x v="0"/>
    <x v="2"/>
    <x v="52"/>
    <x v="2"/>
    <x v="0"/>
    <x v="25"/>
    <x v="4"/>
    <x v="0"/>
    <x v="2"/>
    <x v="2"/>
    <x v="2"/>
    <x v="1"/>
    <x v="0"/>
    <x v="2"/>
    <x v="0"/>
  </r>
  <r>
    <n v="262"/>
    <x v="4"/>
    <x v="1"/>
    <x v="1"/>
    <x v="3"/>
    <x v="20"/>
    <x v="0"/>
    <x v="0"/>
    <x v="27"/>
    <x v="0"/>
    <x v="1"/>
    <x v="0"/>
    <x v="4"/>
    <x v="0"/>
    <x v="1"/>
    <x v="0"/>
    <x v="0"/>
    <x v="0"/>
  </r>
  <r>
    <n v="263"/>
    <x v="2"/>
    <x v="0"/>
    <x v="0"/>
    <x v="5"/>
    <x v="44"/>
    <x v="4"/>
    <x v="1"/>
    <x v="1"/>
    <x v="3"/>
    <x v="0"/>
    <x v="4"/>
    <x v="6"/>
    <x v="0"/>
    <x v="0"/>
    <x v="1"/>
    <x v="0"/>
    <x v="2"/>
  </r>
  <r>
    <n v="264"/>
    <x v="1"/>
    <x v="1"/>
    <x v="1"/>
    <x v="6"/>
    <x v="26"/>
    <x v="0"/>
    <x v="1"/>
    <x v="30"/>
    <x v="1"/>
    <x v="1"/>
    <x v="3"/>
    <x v="3"/>
    <x v="0"/>
    <x v="0"/>
    <x v="1"/>
    <x v="1"/>
    <x v="2"/>
  </r>
  <r>
    <n v="265"/>
    <x v="0"/>
    <x v="0"/>
    <x v="0"/>
    <x v="8"/>
    <x v="9"/>
    <x v="7"/>
    <x v="1"/>
    <x v="34"/>
    <x v="1"/>
    <x v="1"/>
    <x v="3"/>
    <x v="1"/>
    <x v="1"/>
    <x v="1"/>
    <x v="1"/>
    <x v="1"/>
    <x v="1"/>
  </r>
  <r>
    <n v="266"/>
    <x v="4"/>
    <x v="1"/>
    <x v="1"/>
    <x v="12"/>
    <x v="0"/>
    <x v="2"/>
    <x v="0"/>
    <x v="18"/>
    <x v="2"/>
    <x v="0"/>
    <x v="0"/>
    <x v="0"/>
    <x v="0"/>
    <x v="1"/>
    <x v="0"/>
    <x v="0"/>
    <x v="0"/>
  </r>
  <r>
    <n v="267"/>
    <x v="2"/>
    <x v="0"/>
    <x v="0"/>
    <x v="9"/>
    <x v="10"/>
    <x v="8"/>
    <x v="0"/>
    <x v="3"/>
    <x v="0"/>
    <x v="1"/>
    <x v="0"/>
    <x v="7"/>
    <x v="0"/>
    <x v="1"/>
    <x v="0"/>
    <x v="0"/>
    <x v="2"/>
  </r>
  <r>
    <n v="268"/>
    <x v="1"/>
    <x v="1"/>
    <x v="1"/>
    <x v="14"/>
    <x v="44"/>
    <x v="9"/>
    <x v="1"/>
    <x v="30"/>
    <x v="3"/>
    <x v="0"/>
    <x v="4"/>
    <x v="6"/>
    <x v="0"/>
    <x v="0"/>
    <x v="1"/>
    <x v="0"/>
    <x v="2"/>
  </r>
  <r>
    <n v="269"/>
    <x v="0"/>
    <x v="0"/>
    <x v="0"/>
    <x v="2"/>
    <x v="47"/>
    <x v="0"/>
    <x v="0"/>
    <x v="13"/>
    <x v="4"/>
    <x v="1"/>
    <x v="2"/>
    <x v="2"/>
    <x v="0"/>
    <x v="1"/>
    <x v="0"/>
    <x v="2"/>
    <x v="0"/>
  </r>
  <r>
    <n v="270"/>
    <x v="4"/>
    <x v="1"/>
    <x v="1"/>
    <x v="3"/>
    <x v="0"/>
    <x v="4"/>
    <x v="0"/>
    <x v="26"/>
    <x v="0"/>
    <x v="0"/>
    <x v="0"/>
    <x v="4"/>
    <x v="0"/>
    <x v="1"/>
    <x v="0"/>
    <x v="0"/>
    <x v="0"/>
  </r>
  <r>
    <n v="271"/>
    <x v="2"/>
    <x v="0"/>
    <x v="0"/>
    <x v="5"/>
    <x v="4"/>
    <x v="0"/>
    <x v="1"/>
    <x v="16"/>
    <x v="3"/>
    <x v="1"/>
    <x v="4"/>
    <x v="6"/>
    <x v="0"/>
    <x v="0"/>
    <x v="1"/>
    <x v="0"/>
    <x v="2"/>
  </r>
  <r>
    <n v="272"/>
    <x v="1"/>
    <x v="1"/>
    <x v="1"/>
    <x v="6"/>
    <x v="14"/>
    <x v="4"/>
    <x v="1"/>
    <x v="12"/>
    <x v="1"/>
    <x v="0"/>
    <x v="3"/>
    <x v="3"/>
    <x v="0"/>
    <x v="0"/>
    <x v="1"/>
    <x v="1"/>
    <x v="2"/>
  </r>
  <r>
    <n v="273"/>
    <x v="0"/>
    <x v="0"/>
    <x v="0"/>
    <x v="8"/>
    <x v="24"/>
    <x v="7"/>
    <x v="1"/>
    <x v="36"/>
    <x v="1"/>
    <x v="1"/>
    <x v="3"/>
    <x v="1"/>
    <x v="1"/>
    <x v="1"/>
    <x v="1"/>
    <x v="1"/>
    <x v="1"/>
  </r>
  <r>
    <n v="274"/>
    <x v="4"/>
    <x v="1"/>
    <x v="1"/>
    <x v="12"/>
    <x v="31"/>
    <x v="0"/>
    <x v="0"/>
    <x v="14"/>
    <x v="2"/>
    <x v="1"/>
    <x v="0"/>
    <x v="4"/>
    <x v="0"/>
    <x v="1"/>
    <x v="0"/>
    <x v="0"/>
    <x v="0"/>
  </r>
  <r>
    <n v="275"/>
    <x v="2"/>
    <x v="0"/>
    <x v="0"/>
    <x v="9"/>
    <x v="19"/>
    <x v="8"/>
    <x v="0"/>
    <x v="24"/>
    <x v="0"/>
    <x v="0"/>
    <x v="0"/>
    <x v="7"/>
    <x v="0"/>
    <x v="1"/>
    <x v="1"/>
    <x v="0"/>
    <x v="2"/>
  </r>
  <r>
    <n v="276"/>
    <x v="1"/>
    <x v="1"/>
    <x v="1"/>
    <x v="14"/>
    <x v="15"/>
    <x v="9"/>
    <x v="1"/>
    <x v="12"/>
    <x v="3"/>
    <x v="1"/>
    <x v="4"/>
    <x v="6"/>
    <x v="0"/>
    <x v="0"/>
    <x v="1"/>
    <x v="0"/>
    <x v="2"/>
  </r>
  <r>
    <n v="277"/>
    <x v="0"/>
    <x v="0"/>
    <x v="0"/>
    <x v="2"/>
    <x v="52"/>
    <x v="2"/>
    <x v="0"/>
    <x v="10"/>
    <x v="4"/>
    <x v="0"/>
    <x v="2"/>
    <x v="2"/>
    <x v="2"/>
    <x v="1"/>
    <x v="0"/>
    <x v="2"/>
    <x v="0"/>
  </r>
  <r>
    <n v="278"/>
    <x v="4"/>
    <x v="1"/>
    <x v="1"/>
    <x v="3"/>
    <x v="43"/>
    <x v="0"/>
    <x v="0"/>
    <x v="0"/>
    <x v="0"/>
    <x v="1"/>
    <x v="0"/>
    <x v="4"/>
    <x v="0"/>
    <x v="1"/>
    <x v="0"/>
    <x v="0"/>
    <x v="0"/>
  </r>
  <r>
    <n v="279"/>
    <x v="2"/>
    <x v="0"/>
    <x v="0"/>
    <x v="5"/>
    <x v="27"/>
    <x v="4"/>
    <x v="1"/>
    <x v="21"/>
    <x v="3"/>
    <x v="0"/>
    <x v="4"/>
    <x v="6"/>
    <x v="0"/>
    <x v="0"/>
    <x v="1"/>
    <x v="0"/>
    <x v="2"/>
  </r>
  <r>
    <n v="280"/>
    <x v="1"/>
    <x v="1"/>
    <x v="1"/>
    <x v="6"/>
    <x v="30"/>
    <x v="0"/>
    <x v="1"/>
    <x v="31"/>
    <x v="1"/>
    <x v="1"/>
    <x v="3"/>
    <x v="3"/>
    <x v="0"/>
    <x v="0"/>
    <x v="1"/>
    <x v="1"/>
    <x v="2"/>
  </r>
  <r>
    <n v="281"/>
    <x v="0"/>
    <x v="0"/>
    <x v="0"/>
    <x v="8"/>
    <x v="34"/>
    <x v="7"/>
    <x v="1"/>
    <x v="38"/>
    <x v="1"/>
    <x v="1"/>
    <x v="3"/>
    <x v="1"/>
    <x v="1"/>
    <x v="1"/>
    <x v="1"/>
    <x v="1"/>
    <x v="1"/>
  </r>
  <r>
    <n v="282"/>
    <x v="4"/>
    <x v="1"/>
    <x v="1"/>
    <x v="12"/>
    <x v="20"/>
    <x v="2"/>
    <x v="0"/>
    <x v="11"/>
    <x v="2"/>
    <x v="0"/>
    <x v="0"/>
    <x v="0"/>
    <x v="0"/>
    <x v="1"/>
    <x v="0"/>
    <x v="0"/>
    <x v="0"/>
  </r>
  <r>
    <n v="283"/>
    <x v="2"/>
    <x v="0"/>
    <x v="0"/>
    <x v="9"/>
    <x v="38"/>
    <x v="8"/>
    <x v="0"/>
    <x v="9"/>
    <x v="0"/>
    <x v="1"/>
    <x v="0"/>
    <x v="7"/>
    <x v="0"/>
    <x v="1"/>
    <x v="1"/>
    <x v="0"/>
    <x v="2"/>
  </r>
  <r>
    <n v="284"/>
    <x v="1"/>
    <x v="1"/>
    <x v="1"/>
    <x v="14"/>
    <x v="45"/>
    <x v="9"/>
    <x v="1"/>
    <x v="31"/>
    <x v="3"/>
    <x v="0"/>
    <x v="4"/>
    <x v="6"/>
    <x v="0"/>
    <x v="0"/>
    <x v="1"/>
    <x v="0"/>
    <x v="2"/>
  </r>
  <r>
    <n v="285"/>
    <x v="0"/>
    <x v="0"/>
    <x v="0"/>
    <x v="2"/>
    <x v="51"/>
    <x v="0"/>
    <x v="0"/>
    <x v="17"/>
    <x v="4"/>
    <x v="1"/>
    <x v="2"/>
    <x v="2"/>
    <x v="2"/>
    <x v="1"/>
    <x v="0"/>
    <x v="2"/>
    <x v="0"/>
  </r>
  <r>
    <n v="286"/>
    <x v="4"/>
    <x v="1"/>
    <x v="1"/>
    <x v="3"/>
    <x v="17"/>
    <x v="4"/>
    <x v="0"/>
    <x v="20"/>
    <x v="0"/>
    <x v="0"/>
    <x v="0"/>
    <x v="4"/>
    <x v="0"/>
    <x v="1"/>
    <x v="0"/>
    <x v="0"/>
    <x v="0"/>
  </r>
  <r>
    <n v="287"/>
    <x v="2"/>
    <x v="0"/>
    <x v="0"/>
    <x v="5"/>
    <x v="44"/>
    <x v="0"/>
    <x v="1"/>
    <x v="1"/>
    <x v="3"/>
    <x v="1"/>
    <x v="4"/>
    <x v="6"/>
    <x v="0"/>
    <x v="0"/>
    <x v="1"/>
    <x v="0"/>
    <x v="2"/>
  </r>
  <r>
    <n v="288"/>
    <x v="1"/>
    <x v="1"/>
    <x v="1"/>
    <x v="6"/>
    <x v="18"/>
    <x v="4"/>
    <x v="1"/>
    <x v="6"/>
    <x v="1"/>
    <x v="0"/>
    <x v="3"/>
    <x v="3"/>
    <x v="1"/>
    <x v="0"/>
    <x v="1"/>
    <x v="1"/>
    <x v="2"/>
  </r>
  <r>
    <n v="289"/>
    <x v="0"/>
    <x v="0"/>
    <x v="0"/>
    <x v="8"/>
    <x v="3"/>
    <x v="7"/>
    <x v="1"/>
    <x v="40"/>
    <x v="1"/>
    <x v="1"/>
    <x v="3"/>
    <x v="1"/>
    <x v="1"/>
    <x v="1"/>
    <x v="1"/>
    <x v="1"/>
    <x v="1"/>
  </r>
  <r>
    <n v="290"/>
    <x v="4"/>
    <x v="1"/>
    <x v="1"/>
    <x v="12"/>
    <x v="0"/>
    <x v="0"/>
    <x v="0"/>
    <x v="18"/>
    <x v="2"/>
    <x v="1"/>
    <x v="0"/>
    <x v="4"/>
    <x v="0"/>
    <x v="1"/>
    <x v="0"/>
    <x v="0"/>
    <x v="0"/>
  </r>
  <r>
    <n v="291"/>
    <x v="2"/>
    <x v="0"/>
    <x v="0"/>
    <x v="9"/>
    <x v="4"/>
    <x v="8"/>
    <x v="0"/>
    <x v="16"/>
    <x v="0"/>
    <x v="0"/>
    <x v="0"/>
    <x v="7"/>
    <x v="0"/>
    <x v="1"/>
    <x v="1"/>
    <x v="0"/>
    <x v="2"/>
  </r>
  <r>
    <n v="292"/>
    <x v="1"/>
    <x v="1"/>
    <x v="1"/>
    <x v="14"/>
    <x v="8"/>
    <x v="9"/>
    <x v="1"/>
    <x v="6"/>
    <x v="3"/>
    <x v="1"/>
    <x v="4"/>
    <x v="6"/>
    <x v="0"/>
    <x v="1"/>
    <x v="1"/>
    <x v="0"/>
    <x v="2"/>
  </r>
  <r>
    <n v="293"/>
    <x v="0"/>
    <x v="0"/>
    <x v="0"/>
    <x v="2"/>
    <x v="49"/>
    <x v="2"/>
    <x v="0"/>
    <x v="22"/>
    <x v="4"/>
    <x v="0"/>
    <x v="2"/>
    <x v="2"/>
    <x v="2"/>
    <x v="1"/>
    <x v="0"/>
    <x v="2"/>
    <x v="0"/>
  </r>
  <r>
    <n v="294"/>
    <x v="4"/>
    <x v="1"/>
    <x v="1"/>
    <x v="3"/>
    <x v="22"/>
    <x v="0"/>
    <x v="0"/>
    <x v="14"/>
    <x v="0"/>
    <x v="1"/>
    <x v="0"/>
    <x v="4"/>
    <x v="0"/>
    <x v="1"/>
    <x v="0"/>
    <x v="0"/>
    <x v="0"/>
  </r>
  <r>
    <n v="295"/>
    <x v="2"/>
    <x v="0"/>
    <x v="0"/>
    <x v="5"/>
    <x v="15"/>
    <x v="4"/>
    <x v="1"/>
    <x v="29"/>
    <x v="3"/>
    <x v="0"/>
    <x v="4"/>
    <x v="6"/>
    <x v="0"/>
    <x v="0"/>
    <x v="1"/>
    <x v="0"/>
    <x v="2"/>
  </r>
  <r>
    <n v="296"/>
    <x v="1"/>
    <x v="1"/>
    <x v="1"/>
    <x v="6"/>
    <x v="46"/>
    <x v="0"/>
    <x v="1"/>
    <x v="32"/>
    <x v="1"/>
    <x v="1"/>
    <x v="3"/>
    <x v="3"/>
    <x v="1"/>
    <x v="0"/>
    <x v="1"/>
    <x v="1"/>
    <x v="2"/>
  </r>
  <r>
    <n v="297"/>
    <x v="0"/>
    <x v="0"/>
    <x v="0"/>
    <x v="8"/>
    <x v="42"/>
    <x v="7"/>
    <x v="1"/>
    <x v="43"/>
    <x v="1"/>
    <x v="1"/>
    <x v="3"/>
    <x v="1"/>
    <x v="1"/>
    <x v="1"/>
    <x v="1"/>
    <x v="1"/>
    <x v="1"/>
  </r>
  <r>
    <n v="298"/>
    <x v="4"/>
    <x v="1"/>
    <x v="1"/>
    <x v="12"/>
    <x v="43"/>
    <x v="2"/>
    <x v="0"/>
    <x v="3"/>
    <x v="2"/>
    <x v="0"/>
    <x v="0"/>
    <x v="0"/>
    <x v="0"/>
    <x v="1"/>
    <x v="0"/>
    <x v="0"/>
    <x v="0"/>
  </r>
  <r>
    <n v="299"/>
    <x v="2"/>
    <x v="0"/>
    <x v="0"/>
    <x v="9"/>
    <x v="27"/>
    <x v="8"/>
    <x v="0"/>
    <x v="21"/>
    <x v="0"/>
    <x v="1"/>
    <x v="0"/>
    <x v="7"/>
    <x v="0"/>
    <x v="1"/>
    <x v="1"/>
    <x v="0"/>
    <x v="2"/>
  </r>
  <r>
    <n v="300"/>
    <x v="1"/>
    <x v="1"/>
    <x v="1"/>
    <x v="14"/>
    <x v="36"/>
    <x v="9"/>
    <x v="1"/>
    <x v="32"/>
    <x v="3"/>
    <x v="0"/>
    <x v="4"/>
    <x v="6"/>
    <x v="0"/>
    <x v="1"/>
    <x v="1"/>
    <x v="0"/>
    <x v="2"/>
  </r>
  <r>
    <n v="301"/>
    <x v="0"/>
    <x v="0"/>
    <x v="0"/>
    <x v="2"/>
    <x v="50"/>
    <x v="0"/>
    <x v="0"/>
    <x v="19"/>
    <x v="4"/>
    <x v="1"/>
    <x v="2"/>
    <x v="2"/>
    <x v="2"/>
    <x v="1"/>
    <x v="0"/>
    <x v="2"/>
    <x v="0"/>
  </r>
  <r>
    <n v="302"/>
    <x v="4"/>
    <x v="1"/>
    <x v="1"/>
    <x v="3"/>
    <x v="10"/>
    <x v="4"/>
    <x v="0"/>
    <x v="11"/>
    <x v="0"/>
    <x v="0"/>
    <x v="0"/>
    <x v="4"/>
    <x v="0"/>
    <x v="1"/>
    <x v="0"/>
    <x v="0"/>
    <x v="0"/>
  </r>
  <r>
    <n v="303"/>
    <x v="2"/>
    <x v="0"/>
    <x v="0"/>
    <x v="5"/>
    <x v="45"/>
    <x v="0"/>
    <x v="1"/>
    <x v="30"/>
    <x v="3"/>
    <x v="1"/>
    <x v="4"/>
    <x v="6"/>
    <x v="0"/>
    <x v="2"/>
    <x v="1"/>
    <x v="0"/>
    <x v="2"/>
  </r>
  <r>
    <n v="304"/>
    <x v="1"/>
    <x v="1"/>
    <x v="1"/>
    <x v="6"/>
    <x v="9"/>
    <x v="4"/>
    <x v="1"/>
    <x v="33"/>
    <x v="1"/>
    <x v="0"/>
    <x v="3"/>
    <x v="3"/>
    <x v="1"/>
    <x v="0"/>
    <x v="1"/>
    <x v="1"/>
    <x v="2"/>
  </r>
  <r>
    <n v="305"/>
    <x v="0"/>
    <x v="0"/>
    <x v="0"/>
    <x v="8"/>
    <x v="12"/>
    <x v="7"/>
    <x v="1"/>
    <x v="45"/>
    <x v="1"/>
    <x v="1"/>
    <x v="3"/>
    <x v="1"/>
    <x v="1"/>
    <x v="1"/>
    <x v="1"/>
    <x v="1"/>
    <x v="1"/>
  </r>
  <r>
    <n v="306"/>
    <x v="4"/>
    <x v="1"/>
    <x v="1"/>
    <x v="12"/>
    <x v="17"/>
    <x v="0"/>
    <x v="0"/>
    <x v="24"/>
    <x v="2"/>
    <x v="1"/>
    <x v="0"/>
    <x v="4"/>
    <x v="0"/>
    <x v="1"/>
    <x v="1"/>
    <x v="0"/>
    <x v="0"/>
  </r>
  <r>
    <n v="307"/>
    <x v="2"/>
    <x v="0"/>
    <x v="0"/>
    <x v="9"/>
    <x v="44"/>
    <x v="8"/>
    <x v="0"/>
    <x v="1"/>
    <x v="0"/>
    <x v="0"/>
    <x v="0"/>
    <x v="7"/>
    <x v="0"/>
    <x v="0"/>
    <x v="1"/>
    <x v="0"/>
    <x v="2"/>
  </r>
  <r>
    <n v="308"/>
    <x v="1"/>
    <x v="1"/>
    <x v="1"/>
    <x v="14"/>
    <x v="26"/>
    <x v="9"/>
    <x v="1"/>
    <x v="33"/>
    <x v="3"/>
    <x v="1"/>
    <x v="4"/>
    <x v="6"/>
    <x v="0"/>
    <x v="1"/>
    <x v="1"/>
    <x v="0"/>
    <x v="2"/>
  </r>
  <r>
    <n v="309"/>
    <x v="0"/>
    <x v="0"/>
    <x v="0"/>
    <x v="2"/>
    <x v="48"/>
    <x v="2"/>
    <x v="0"/>
    <x v="23"/>
    <x v="4"/>
    <x v="0"/>
    <x v="2"/>
    <x v="2"/>
    <x v="2"/>
    <x v="0"/>
    <x v="0"/>
    <x v="2"/>
    <x v="0"/>
  </r>
  <r>
    <n v="310"/>
    <x v="4"/>
    <x v="1"/>
    <x v="1"/>
    <x v="3"/>
    <x v="19"/>
    <x v="0"/>
    <x v="0"/>
    <x v="18"/>
    <x v="0"/>
    <x v="1"/>
    <x v="0"/>
    <x v="4"/>
    <x v="0"/>
    <x v="0"/>
    <x v="0"/>
    <x v="0"/>
    <x v="0"/>
  </r>
  <r>
    <n v="311"/>
    <x v="2"/>
    <x v="0"/>
    <x v="0"/>
    <x v="5"/>
    <x v="8"/>
    <x v="4"/>
    <x v="1"/>
    <x v="12"/>
    <x v="3"/>
    <x v="0"/>
    <x v="4"/>
    <x v="6"/>
    <x v="0"/>
    <x v="1"/>
    <x v="1"/>
    <x v="0"/>
    <x v="2"/>
  </r>
  <r>
    <n v="312"/>
    <x v="1"/>
    <x v="1"/>
    <x v="1"/>
    <x v="6"/>
    <x v="24"/>
    <x v="0"/>
    <x v="1"/>
    <x v="34"/>
    <x v="1"/>
    <x v="1"/>
    <x v="3"/>
    <x v="3"/>
    <x v="1"/>
    <x v="0"/>
    <x v="1"/>
    <x v="1"/>
    <x v="2"/>
  </r>
  <r>
    <n v="313"/>
    <x v="0"/>
    <x v="0"/>
    <x v="0"/>
    <x v="8"/>
    <x v="39"/>
    <x v="7"/>
    <x v="1"/>
    <x v="47"/>
    <x v="1"/>
    <x v="1"/>
    <x v="3"/>
    <x v="1"/>
    <x v="1"/>
    <x v="0"/>
    <x v="1"/>
    <x v="1"/>
    <x v="1"/>
  </r>
  <r>
    <n v="314"/>
    <x v="4"/>
    <x v="1"/>
    <x v="1"/>
    <x v="12"/>
    <x v="22"/>
    <x v="2"/>
    <x v="0"/>
    <x v="9"/>
    <x v="2"/>
    <x v="0"/>
    <x v="0"/>
    <x v="0"/>
    <x v="0"/>
    <x v="0"/>
    <x v="1"/>
    <x v="0"/>
    <x v="0"/>
  </r>
  <r>
    <n v="315"/>
    <x v="2"/>
    <x v="0"/>
    <x v="0"/>
    <x v="9"/>
    <x v="15"/>
    <x v="8"/>
    <x v="0"/>
    <x v="29"/>
    <x v="0"/>
    <x v="1"/>
    <x v="0"/>
    <x v="7"/>
    <x v="0"/>
    <x v="1"/>
    <x v="1"/>
    <x v="0"/>
    <x v="2"/>
  </r>
  <r>
    <n v="316"/>
    <x v="1"/>
    <x v="1"/>
    <x v="1"/>
    <x v="14"/>
    <x v="14"/>
    <x v="9"/>
    <x v="1"/>
    <x v="34"/>
    <x v="3"/>
    <x v="0"/>
    <x v="4"/>
    <x v="6"/>
    <x v="0"/>
    <x v="0"/>
    <x v="1"/>
    <x v="0"/>
    <x v="2"/>
  </r>
  <r>
    <n v="317"/>
    <x v="0"/>
    <x v="0"/>
    <x v="0"/>
    <x v="2"/>
    <x v="53"/>
    <x v="0"/>
    <x v="0"/>
    <x v="2"/>
    <x v="4"/>
    <x v="1"/>
    <x v="2"/>
    <x v="2"/>
    <x v="2"/>
    <x v="0"/>
    <x v="2"/>
    <x v="2"/>
    <x v="0"/>
  </r>
  <r>
    <n v="318"/>
    <x v="4"/>
    <x v="1"/>
    <x v="1"/>
    <x v="3"/>
    <x v="38"/>
    <x v="4"/>
    <x v="0"/>
    <x v="3"/>
    <x v="0"/>
    <x v="0"/>
    <x v="0"/>
    <x v="4"/>
    <x v="0"/>
    <x v="1"/>
    <x v="0"/>
    <x v="0"/>
    <x v="0"/>
  </r>
  <r>
    <n v="319"/>
    <x v="2"/>
    <x v="0"/>
    <x v="0"/>
    <x v="5"/>
    <x v="36"/>
    <x v="0"/>
    <x v="1"/>
    <x v="31"/>
    <x v="3"/>
    <x v="1"/>
    <x v="4"/>
    <x v="6"/>
    <x v="0"/>
    <x v="1"/>
    <x v="1"/>
    <x v="0"/>
    <x v="2"/>
  </r>
  <r>
    <n v="320"/>
    <x v="1"/>
    <x v="1"/>
    <x v="1"/>
    <x v="6"/>
    <x v="34"/>
    <x v="4"/>
    <x v="1"/>
    <x v="36"/>
    <x v="1"/>
    <x v="0"/>
    <x v="3"/>
    <x v="3"/>
    <x v="1"/>
    <x v="0"/>
    <x v="1"/>
    <x v="1"/>
    <x v="2"/>
  </r>
  <r>
    <n v="321"/>
    <x v="0"/>
    <x v="0"/>
    <x v="0"/>
    <x v="11"/>
    <x v="0"/>
    <x v="0"/>
    <x v="0"/>
    <x v="11"/>
    <x v="0"/>
    <x v="1"/>
    <x v="0"/>
    <x v="4"/>
    <x v="0"/>
    <x v="1"/>
    <x v="0"/>
    <x v="0"/>
    <x v="0"/>
  </r>
  <r>
    <n v="322"/>
    <x v="4"/>
    <x v="1"/>
    <x v="1"/>
    <x v="18"/>
    <x v="45"/>
    <x v="4"/>
    <x v="1"/>
    <x v="12"/>
    <x v="1"/>
    <x v="0"/>
    <x v="4"/>
    <x v="3"/>
    <x v="0"/>
    <x v="0"/>
    <x v="1"/>
    <x v="1"/>
    <x v="2"/>
  </r>
  <r>
    <n v="323"/>
    <x v="2"/>
    <x v="0"/>
    <x v="0"/>
    <x v="25"/>
    <x v="17"/>
    <x v="0"/>
    <x v="0"/>
    <x v="3"/>
    <x v="3"/>
    <x v="1"/>
    <x v="0"/>
    <x v="7"/>
    <x v="0"/>
    <x v="0"/>
    <x v="0"/>
    <x v="0"/>
    <x v="2"/>
  </r>
  <r>
    <n v="324"/>
    <x v="1"/>
    <x v="1"/>
    <x v="1"/>
    <x v="1"/>
    <x v="7"/>
    <x v="10"/>
    <x v="0"/>
    <x v="0"/>
    <x v="2"/>
    <x v="0"/>
    <x v="2"/>
    <x v="0"/>
    <x v="0"/>
    <x v="0"/>
    <x v="0"/>
    <x v="0"/>
    <x v="0"/>
  </r>
  <r>
    <n v="325"/>
    <x v="0"/>
    <x v="0"/>
    <x v="0"/>
    <x v="21"/>
    <x v="8"/>
    <x v="0"/>
    <x v="1"/>
    <x v="31"/>
    <x v="1"/>
    <x v="1"/>
    <x v="4"/>
    <x v="3"/>
    <x v="0"/>
    <x v="1"/>
    <x v="1"/>
    <x v="1"/>
    <x v="2"/>
  </r>
  <r>
    <n v="326"/>
    <x v="4"/>
    <x v="1"/>
    <x v="1"/>
    <x v="35"/>
    <x v="11"/>
    <x v="0"/>
    <x v="0"/>
    <x v="14"/>
    <x v="0"/>
    <x v="1"/>
    <x v="0"/>
    <x v="4"/>
    <x v="0"/>
    <x v="0"/>
    <x v="0"/>
    <x v="0"/>
    <x v="0"/>
  </r>
  <r>
    <n v="327"/>
    <x v="2"/>
    <x v="0"/>
    <x v="0"/>
    <x v="2"/>
    <x v="49"/>
    <x v="2"/>
    <x v="0"/>
    <x v="10"/>
    <x v="2"/>
    <x v="0"/>
    <x v="2"/>
    <x v="2"/>
    <x v="2"/>
    <x v="0"/>
    <x v="0"/>
    <x v="0"/>
    <x v="0"/>
  </r>
  <r>
    <n v="328"/>
    <x v="1"/>
    <x v="1"/>
    <x v="1"/>
    <x v="13"/>
    <x v="33"/>
    <x v="10"/>
    <x v="0"/>
    <x v="20"/>
    <x v="0"/>
    <x v="1"/>
    <x v="0"/>
    <x v="4"/>
    <x v="0"/>
    <x v="1"/>
    <x v="0"/>
    <x v="0"/>
    <x v="0"/>
  </r>
  <r>
    <n v="329"/>
    <x v="0"/>
    <x v="0"/>
    <x v="0"/>
    <x v="10"/>
    <x v="4"/>
    <x v="0"/>
    <x v="1"/>
    <x v="1"/>
    <x v="3"/>
    <x v="0"/>
    <x v="4"/>
    <x v="6"/>
    <x v="0"/>
    <x v="1"/>
    <x v="1"/>
    <x v="0"/>
    <x v="2"/>
  </r>
  <r>
    <n v="330"/>
    <x v="4"/>
    <x v="1"/>
    <x v="1"/>
    <x v="4"/>
    <x v="20"/>
    <x v="0"/>
    <x v="0"/>
    <x v="18"/>
    <x v="0"/>
    <x v="1"/>
    <x v="0"/>
    <x v="4"/>
    <x v="0"/>
    <x v="0"/>
    <x v="0"/>
    <x v="0"/>
    <x v="0"/>
  </r>
  <r>
    <n v="331"/>
    <x v="2"/>
    <x v="0"/>
    <x v="0"/>
    <x v="11"/>
    <x v="43"/>
    <x v="2"/>
    <x v="0"/>
    <x v="14"/>
    <x v="0"/>
    <x v="1"/>
    <x v="0"/>
    <x v="4"/>
    <x v="0"/>
    <x v="1"/>
    <x v="0"/>
    <x v="0"/>
    <x v="0"/>
  </r>
  <r>
    <n v="332"/>
    <x v="1"/>
    <x v="1"/>
    <x v="1"/>
    <x v="18"/>
    <x v="36"/>
    <x v="4"/>
    <x v="1"/>
    <x v="31"/>
    <x v="1"/>
    <x v="0"/>
    <x v="4"/>
    <x v="3"/>
    <x v="0"/>
    <x v="0"/>
    <x v="1"/>
    <x v="1"/>
    <x v="2"/>
  </r>
  <r>
    <n v="333"/>
    <x v="0"/>
    <x v="0"/>
    <x v="0"/>
    <x v="25"/>
    <x v="10"/>
    <x v="0"/>
    <x v="0"/>
    <x v="24"/>
    <x v="3"/>
    <x v="1"/>
    <x v="0"/>
    <x v="7"/>
    <x v="0"/>
    <x v="0"/>
    <x v="1"/>
    <x v="0"/>
    <x v="2"/>
  </r>
  <r>
    <n v="334"/>
    <x v="4"/>
    <x v="1"/>
    <x v="1"/>
    <x v="1"/>
    <x v="29"/>
    <x v="10"/>
    <x v="0"/>
    <x v="26"/>
    <x v="2"/>
    <x v="0"/>
    <x v="2"/>
    <x v="0"/>
    <x v="0"/>
    <x v="0"/>
    <x v="0"/>
    <x v="0"/>
    <x v="0"/>
  </r>
  <r>
    <n v="335"/>
    <x v="2"/>
    <x v="0"/>
    <x v="0"/>
    <x v="21"/>
    <x v="26"/>
    <x v="0"/>
    <x v="1"/>
    <x v="6"/>
    <x v="1"/>
    <x v="1"/>
    <x v="4"/>
    <x v="3"/>
    <x v="0"/>
    <x v="1"/>
    <x v="1"/>
    <x v="1"/>
    <x v="2"/>
  </r>
  <r>
    <n v="336"/>
    <x v="1"/>
    <x v="1"/>
    <x v="1"/>
    <x v="35"/>
    <x v="31"/>
    <x v="2"/>
    <x v="0"/>
    <x v="11"/>
    <x v="0"/>
    <x v="1"/>
    <x v="0"/>
    <x v="4"/>
    <x v="0"/>
    <x v="1"/>
    <x v="0"/>
    <x v="0"/>
    <x v="0"/>
  </r>
  <r>
    <n v="337"/>
    <x v="0"/>
    <x v="0"/>
    <x v="0"/>
    <x v="2"/>
    <x v="50"/>
    <x v="0"/>
    <x v="0"/>
    <x v="17"/>
    <x v="2"/>
    <x v="0"/>
    <x v="2"/>
    <x v="2"/>
    <x v="2"/>
    <x v="0"/>
    <x v="0"/>
    <x v="0"/>
    <x v="0"/>
  </r>
  <r>
    <n v="338"/>
    <x v="4"/>
    <x v="1"/>
    <x v="1"/>
    <x v="13"/>
    <x v="23"/>
    <x v="10"/>
    <x v="0"/>
    <x v="0"/>
    <x v="0"/>
    <x v="1"/>
    <x v="0"/>
    <x v="4"/>
    <x v="0"/>
    <x v="1"/>
    <x v="0"/>
    <x v="0"/>
    <x v="0"/>
  </r>
  <r>
    <n v="339"/>
    <x v="2"/>
    <x v="0"/>
    <x v="0"/>
    <x v="10"/>
    <x v="27"/>
    <x v="0"/>
    <x v="1"/>
    <x v="29"/>
    <x v="3"/>
    <x v="0"/>
    <x v="4"/>
    <x v="6"/>
    <x v="0"/>
    <x v="1"/>
    <x v="1"/>
    <x v="0"/>
    <x v="2"/>
  </r>
  <r>
    <n v="340"/>
    <x v="1"/>
    <x v="1"/>
    <x v="1"/>
    <x v="4"/>
    <x v="0"/>
    <x v="2"/>
    <x v="0"/>
    <x v="3"/>
    <x v="0"/>
    <x v="1"/>
    <x v="0"/>
    <x v="4"/>
    <x v="0"/>
    <x v="0"/>
    <x v="0"/>
    <x v="0"/>
    <x v="0"/>
  </r>
  <r>
    <n v="341"/>
    <x v="0"/>
    <x v="0"/>
    <x v="0"/>
    <x v="11"/>
    <x v="17"/>
    <x v="0"/>
    <x v="0"/>
    <x v="18"/>
    <x v="0"/>
    <x v="1"/>
    <x v="0"/>
    <x v="4"/>
    <x v="0"/>
    <x v="1"/>
    <x v="0"/>
    <x v="0"/>
    <x v="0"/>
  </r>
  <r>
    <n v="342"/>
    <x v="4"/>
    <x v="1"/>
    <x v="1"/>
    <x v="18"/>
    <x v="26"/>
    <x v="4"/>
    <x v="1"/>
    <x v="6"/>
    <x v="1"/>
    <x v="0"/>
    <x v="4"/>
    <x v="3"/>
    <x v="0"/>
    <x v="0"/>
    <x v="1"/>
    <x v="1"/>
    <x v="2"/>
  </r>
  <r>
    <n v="343"/>
    <x v="2"/>
    <x v="0"/>
    <x v="0"/>
    <x v="25"/>
    <x v="19"/>
    <x v="2"/>
    <x v="0"/>
    <x v="9"/>
    <x v="3"/>
    <x v="1"/>
    <x v="0"/>
    <x v="7"/>
    <x v="0"/>
    <x v="0"/>
    <x v="1"/>
    <x v="0"/>
    <x v="2"/>
  </r>
  <r>
    <n v="344"/>
    <x v="1"/>
    <x v="1"/>
    <x v="1"/>
    <x v="1"/>
    <x v="2"/>
    <x v="10"/>
    <x v="0"/>
    <x v="27"/>
    <x v="2"/>
    <x v="0"/>
    <x v="2"/>
    <x v="0"/>
    <x v="0"/>
    <x v="0"/>
    <x v="0"/>
    <x v="0"/>
    <x v="0"/>
  </r>
  <r>
    <n v="345"/>
    <x v="0"/>
    <x v="0"/>
    <x v="0"/>
    <x v="21"/>
    <x v="14"/>
    <x v="0"/>
    <x v="1"/>
    <x v="32"/>
    <x v="1"/>
    <x v="1"/>
    <x v="4"/>
    <x v="3"/>
    <x v="0"/>
    <x v="1"/>
    <x v="1"/>
    <x v="1"/>
    <x v="2"/>
  </r>
  <r>
    <n v="346"/>
    <x v="4"/>
    <x v="1"/>
    <x v="1"/>
    <x v="35"/>
    <x v="20"/>
    <x v="0"/>
    <x v="0"/>
    <x v="18"/>
    <x v="0"/>
    <x v="1"/>
    <x v="0"/>
    <x v="4"/>
    <x v="0"/>
    <x v="1"/>
    <x v="0"/>
    <x v="0"/>
    <x v="0"/>
  </r>
  <r>
    <n v="347"/>
    <x v="2"/>
    <x v="0"/>
    <x v="0"/>
    <x v="2"/>
    <x v="48"/>
    <x v="2"/>
    <x v="0"/>
    <x v="22"/>
    <x v="2"/>
    <x v="0"/>
    <x v="2"/>
    <x v="2"/>
    <x v="2"/>
    <x v="1"/>
    <x v="0"/>
    <x v="0"/>
    <x v="0"/>
  </r>
  <r>
    <n v="348"/>
    <x v="1"/>
    <x v="1"/>
    <x v="1"/>
    <x v="13"/>
    <x v="7"/>
    <x v="10"/>
    <x v="0"/>
    <x v="26"/>
    <x v="0"/>
    <x v="1"/>
    <x v="0"/>
    <x v="4"/>
    <x v="0"/>
    <x v="1"/>
    <x v="0"/>
    <x v="0"/>
    <x v="0"/>
  </r>
  <r>
    <n v="349"/>
    <x v="0"/>
    <x v="0"/>
    <x v="0"/>
    <x v="10"/>
    <x v="44"/>
    <x v="0"/>
    <x v="1"/>
    <x v="30"/>
    <x v="3"/>
    <x v="0"/>
    <x v="4"/>
    <x v="6"/>
    <x v="0"/>
    <x v="1"/>
    <x v="1"/>
    <x v="0"/>
    <x v="2"/>
  </r>
  <r>
    <n v="350"/>
    <x v="4"/>
    <x v="1"/>
    <x v="1"/>
    <x v="4"/>
    <x v="43"/>
    <x v="0"/>
    <x v="0"/>
    <x v="24"/>
    <x v="0"/>
    <x v="1"/>
    <x v="0"/>
    <x v="4"/>
    <x v="0"/>
    <x v="0"/>
    <x v="1"/>
    <x v="0"/>
    <x v="0"/>
  </r>
  <r>
    <n v="351"/>
    <x v="2"/>
    <x v="0"/>
    <x v="0"/>
    <x v="11"/>
    <x v="22"/>
    <x v="2"/>
    <x v="0"/>
    <x v="3"/>
    <x v="0"/>
    <x v="1"/>
    <x v="0"/>
    <x v="4"/>
    <x v="0"/>
    <x v="1"/>
    <x v="0"/>
    <x v="0"/>
    <x v="0"/>
  </r>
  <r>
    <n v="352"/>
    <x v="1"/>
    <x v="1"/>
    <x v="1"/>
    <x v="18"/>
    <x v="14"/>
    <x v="4"/>
    <x v="1"/>
    <x v="32"/>
    <x v="1"/>
    <x v="0"/>
    <x v="4"/>
    <x v="3"/>
    <x v="0"/>
    <x v="1"/>
    <x v="1"/>
    <x v="1"/>
    <x v="2"/>
  </r>
  <r>
    <n v="353"/>
    <x v="0"/>
    <x v="0"/>
    <x v="0"/>
    <x v="25"/>
    <x v="38"/>
    <x v="0"/>
    <x v="0"/>
    <x v="16"/>
    <x v="3"/>
    <x v="1"/>
    <x v="0"/>
    <x v="7"/>
    <x v="0"/>
    <x v="0"/>
    <x v="1"/>
    <x v="0"/>
    <x v="2"/>
  </r>
  <r>
    <n v="354"/>
    <x v="4"/>
    <x v="1"/>
    <x v="1"/>
    <x v="1"/>
    <x v="25"/>
    <x v="10"/>
    <x v="0"/>
    <x v="7"/>
    <x v="2"/>
    <x v="0"/>
    <x v="2"/>
    <x v="0"/>
    <x v="0"/>
    <x v="0"/>
    <x v="0"/>
    <x v="0"/>
    <x v="0"/>
  </r>
  <r>
    <n v="355"/>
    <x v="2"/>
    <x v="0"/>
    <x v="0"/>
    <x v="21"/>
    <x v="30"/>
    <x v="0"/>
    <x v="1"/>
    <x v="33"/>
    <x v="1"/>
    <x v="1"/>
    <x v="4"/>
    <x v="3"/>
    <x v="0"/>
    <x v="1"/>
    <x v="1"/>
    <x v="1"/>
    <x v="2"/>
  </r>
  <r>
    <n v="356"/>
    <x v="1"/>
    <x v="1"/>
    <x v="1"/>
    <x v="35"/>
    <x v="0"/>
    <x v="2"/>
    <x v="0"/>
    <x v="3"/>
    <x v="0"/>
    <x v="1"/>
    <x v="0"/>
    <x v="4"/>
    <x v="0"/>
    <x v="1"/>
    <x v="0"/>
    <x v="0"/>
    <x v="0"/>
  </r>
  <r>
    <n v="357"/>
    <x v="0"/>
    <x v="0"/>
    <x v="0"/>
    <x v="2"/>
    <x v="53"/>
    <x v="0"/>
    <x v="0"/>
    <x v="19"/>
    <x v="2"/>
    <x v="0"/>
    <x v="2"/>
    <x v="2"/>
    <x v="2"/>
    <x v="1"/>
    <x v="0"/>
    <x v="0"/>
    <x v="0"/>
  </r>
  <r>
    <n v="358"/>
    <x v="4"/>
    <x v="1"/>
    <x v="1"/>
    <x v="13"/>
    <x v="29"/>
    <x v="10"/>
    <x v="0"/>
    <x v="27"/>
    <x v="0"/>
    <x v="1"/>
    <x v="0"/>
    <x v="4"/>
    <x v="0"/>
    <x v="1"/>
    <x v="0"/>
    <x v="0"/>
    <x v="0"/>
  </r>
  <r>
    <n v="359"/>
    <x v="2"/>
    <x v="0"/>
    <x v="0"/>
    <x v="10"/>
    <x v="15"/>
    <x v="0"/>
    <x v="1"/>
    <x v="12"/>
    <x v="3"/>
    <x v="0"/>
    <x v="4"/>
    <x v="6"/>
    <x v="0"/>
    <x v="1"/>
    <x v="1"/>
    <x v="0"/>
    <x v="2"/>
  </r>
  <r>
    <n v="360"/>
    <x v="1"/>
    <x v="1"/>
    <x v="1"/>
    <x v="4"/>
    <x v="17"/>
    <x v="2"/>
    <x v="0"/>
    <x v="9"/>
    <x v="0"/>
    <x v="1"/>
    <x v="0"/>
    <x v="4"/>
    <x v="0"/>
    <x v="0"/>
    <x v="1"/>
    <x v="0"/>
    <x v="0"/>
  </r>
  <r>
    <n v="361"/>
    <x v="0"/>
    <x v="0"/>
    <x v="0"/>
    <x v="11"/>
    <x v="10"/>
    <x v="0"/>
    <x v="0"/>
    <x v="24"/>
    <x v="0"/>
    <x v="1"/>
    <x v="0"/>
    <x v="4"/>
    <x v="0"/>
    <x v="1"/>
    <x v="1"/>
    <x v="0"/>
    <x v="0"/>
  </r>
  <r>
    <n v="362"/>
    <x v="4"/>
    <x v="1"/>
    <x v="1"/>
    <x v="18"/>
    <x v="30"/>
    <x v="4"/>
    <x v="1"/>
    <x v="33"/>
    <x v="1"/>
    <x v="0"/>
    <x v="4"/>
    <x v="3"/>
    <x v="0"/>
    <x v="1"/>
    <x v="1"/>
    <x v="1"/>
    <x v="2"/>
  </r>
  <r>
    <n v="363"/>
    <x v="2"/>
    <x v="0"/>
    <x v="0"/>
    <x v="25"/>
    <x v="4"/>
    <x v="2"/>
    <x v="0"/>
    <x v="21"/>
    <x v="3"/>
    <x v="1"/>
    <x v="0"/>
    <x v="7"/>
    <x v="0"/>
    <x v="2"/>
    <x v="1"/>
    <x v="0"/>
    <x v="2"/>
  </r>
  <r>
    <n v="364"/>
    <x v="1"/>
    <x v="1"/>
    <x v="1"/>
    <x v="1"/>
    <x v="35"/>
    <x v="10"/>
    <x v="0"/>
    <x v="28"/>
    <x v="2"/>
    <x v="0"/>
    <x v="2"/>
    <x v="0"/>
    <x v="0"/>
    <x v="0"/>
    <x v="0"/>
    <x v="0"/>
    <x v="0"/>
  </r>
  <r>
    <n v="365"/>
    <x v="0"/>
    <x v="0"/>
    <x v="0"/>
    <x v="21"/>
    <x v="18"/>
    <x v="0"/>
    <x v="1"/>
    <x v="34"/>
    <x v="1"/>
    <x v="1"/>
    <x v="4"/>
    <x v="3"/>
    <x v="1"/>
    <x v="1"/>
    <x v="1"/>
    <x v="1"/>
    <x v="2"/>
  </r>
  <r>
    <n v="366"/>
    <x v="4"/>
    <x v="1"/>
    <x v="1"/>
    <x v="35"/>
    <x v="43"/>
    <x v="0"/>
    <x v="0"/>
    <x v="24"/>
    <x v="0"/>
    <x v="1"/>
    <x v="0"/>
    <x v="4"/>
    <x v="0"/>
    <x v="1"/>
    <x v="1"/>
    <x v="0"/>
    <x v="0"/>
  </r>
  <r>
    <n v="367"/>
    <x v="2"/>
    <x v="0"/>
    <x v="0"/>
    <x v="2"/>
    <x v="5"/>
    <x v="2"/>
    <x v="0"/>
    <x v="23"/>
    <x v="2"/>
    <x v="0"/>
    <x v="2"/>
    <x v="2"/>
    <x v="2"/>
    <x v="1"/>
    <x v="0"/>
    <x v="0"/>
    <x v="0"/>
  </r>
  <r>
    <n v="368"/>
    <x v="1"/>
    <x v="1"/>
    <x v="1"/>
    <x v="13"/>
    <x v="2"/>
    <x v="10"/>
    <x v="0"/>
    <x v="7"/>
    <x v="0"/>
    <x v="1"/>
    <x v="0"/>
    <x v="4"/>
    <x v="0"/>
    <x v="1"/>
    <x v="0"/>
    <x v="0"/>
    <x v="0"/>
  </r>
  <r>
    <n v="369"/>
    <x v="0"/>
    <x v="0"/>
    <x v="0"/>
    <x v="10"/>
    <x v="45"/>
    <x v="0"/>
    <x v="1"/>
    <x v="31"/>
    <x v="3"/>
    <x v="0"/>
    <x v="4"/>
    <x v="6"/>
    <x v="0"/>
    <x v="1"/>
    <x v="1"/>
    <x v="0"/>
    <x v="2"/>
  </r>
  <r>
    <n v="370"/>
    <x v="4"/>
    <x v="1"/>
    <x v="1"/>
    <x v="4"/>
    <x v="22"/>
    <x v="0"/>
    <x v="0"/>
    <x v="16"/>
    <x v="0"/>
    <x v="1"/>
    <x v="0"/>
    <x v="4"/>
    <x v="0"/>
    <x v="0"/>
    <x v="1"/>
    <x v="0"/>
    <x v="0"/>
  </r>
  <r>
    <n v="371"/>
    <x v="2"/>
    <x v="0"/>
    <x v="0"/>
    <x v="11"/>
    <x v="19"/>
    <x v="2"/>
    <x v="0"/>
    <x v="9"/>
    <x v="0"/>
    <x v="1"/>
    <x v="0"/>
    <x v="4"/>
    <x v="0"/>
    <x v="1"/>
    <x v="1"/>
    <x v="0"/>
    <x v="0"/>
  </r>
  <r>
    <n v="372"/>
    <x v="1"/>
    <x v="1"/>
    <x v="1"/>
    <x v="18"/>
    <x v="18"/>
    <x v="4"/>
    <x v="1"/>
    <x v="34"/>
    <x v="1"/>
    <x v="0"/>
    <x v="4"/>
    <x v="3"/>
    <x v="1"/>
    <x v="1"/>
    <x v="1"/>
    <x v="1"/>
    <x v="2"/>
  </r>
  <r>
    <n v="373"/>
    <x v="0"/>
    <x v="0"/>
    <x v="0"/>
    <x v="25"/>
    <x v="27"/>
    <x v="0"/>
    <x v="0"/>
    <x v="1"/>
    <x v="3"/>
    <x v="1"/>
    <x v="0"/>
    <x v="7"/>
    <x v="0"/>
    <x v="2"/>
    <x v="1"/>
    <x v="0"/>
    <x v="2"/>
  </r>
  <r>
    <n v="374"/>
    <x v="4"/>
    <x v="1"/>
    <x v="1"/>
    <x v="1"/>
    <x v="40"/>
    <x v="10"/>
    <x v="0"/>
    <x v="4"/>
    <x v="2"/>
    <x v="0"/>
    <x v="2"/>
    <x v="0"/>
    <x v="0"/>
    <x v="0"/>
    <x v="0"/>
    <x v="0"/>
    <x v="0"/>
  </r>
  <r>
    <n v="375"/>
    <x v="2"/>
    <x v="0"/>
    <x v="0"/>
    <x v="21"/>
    <x v="46"/>
    <x v="0"/>
    <x v="1"/>
    <x v="36"/>
    <x v="1"/>
    <x v="1"/>
    <x v="4"/>
    <x v="3"/>
    <x v="1"/>
    <x v="1"/>
    <x v="1"/>
    <x v="1"/>
    <x v="2"/>
  </r>
  <r>
    <n v="376"/>
    <x v="1"/>
    <x v="1"/>
    <x v="1"/>
    <x v="35"/>
    <x v="17"/>
    <x v="2"/>
    <x v="0"/>
    <x v="9"/>
    <x v="0"/>
    <x v="1"/>
    <x v="0"/>
    <x v="4"/>
    <x v="0"/>
    <x v="1"/>
    <x v="1"/>
    <x v="0"/>
    <x v="0"/>
  </r>
  <r>
    <n v="377"/>
    <x v="0"/>
    <x v="0"/>
    <x v="0"/>
    <x v="2"/>
    <x v="54"/>
    <x v="0"/>
    <x v="0"/>
    <x v="2"/>
    <x v="2"/>
    <x v="0"/>
    <x v="2"/>
    <x v="2"/>
    <x v="2"/>
    <x v="1"/>
    <x v="2"/>
    <x v="0"/>
    <x v="0"/>
  </r>
  <r>
    <n v="378"/>
    <x v="4"/>
    <x v="1"/>
    <x v="1"/>
    <x v="13"/>
    <x v="25"/>
    <x v="10"/>
    <x v="0"/>
    <x v="28"/>
    <x v="0"/>
    <x v="1"/>
    <x v="0"/>
    <x v="4"/>
    <x v="0"/>
    <x v="1"/>
    <x v="0"/>
    <x v="0"/>
    <x v="0"/>
  </r>
  <r>
    <n v="379"/>
    <x v="2"/>
    <x v="0"/>
    <x v="0"/>
    <x v="10"/>
    <x v="8"/>
    <x v="0"/>
    <x v="1"/>
    <x v="6"/>
    <x v="3"/>
    <x v="0"/>
    <x v="4"/>
    <x v="6"/>
    <x v="0"/>
    <x v="1"/>
    <x v="1"/>
    <x v="0"/>
    <x v="2"/>
  </r>
  <r>
    <n v="380"/>
    <x v="1"/>
    <x v="1"/>
    <x v="1"/>
    <x v="4"/>
    <x v="10"/>
    <x v="2"/>
    <x v="0"/>
    <x v="21"/>
    <x v="0"/>
    <x v="1"/>
    <x v="0"/>
    <x v="4"/>
    <x v="0"/>
    <x v="0"/>
    <x v="1"/>
    <x v="0"/>
    <x v="0"/>
  </r>
  <r>
    <n v="381"/>
    <x v="0"/>
    <x v="0"/>
    <x v="0"/>
    <x v="11"/>
    <x v="38"/>
    <x v="0"/>
    <x v="0"/>
    <x v="16"/>
    <x v="0"/>
    <x v="1"/>
    <x v="0"/>
    <x v="4"/>
    <x v="0"/>
    <x v="1"/>
    <x v="1"/>
    <x v="0"/>
    <x v="0"/>
  </r>
  <r>
    <n v="382"/>
    <x v="4"/>
    <x v="1"/>
    <x v="1"/>
    <x v="18"/>
    <x v="46"/>
    <x v="4"/>
    <x v="1"/>
    <x v="36"/>
    <x v="1"/>
    <x v="0"/>
    <x v="4"/>
    <x v="3"/>
    <x v="1"/>
    <x v="1"/>
    <x v="1"/>
    <x v="1"/>
    <x v="2"/>
  </r>
  <r>
    <n v="383"/>
    <x v="2"/>
    <x v="0"/>
    <x v="0"/>
    <x v="25"/>
    <x v="44"/>
    <x v="2"/>
    <x v="0"/>
    <x v="29"/>
    <x v="3"/>
    <x v="1"/>
    <x v="0"/>
    <x v="7"/>
    <x v="0"/>
    <x v="2"/>
    <x v="1"/>
    <x v="0"/>
    <x v="2"/>
  </r>
  <r>
    <n v="384"/>
    <x v="1"/>
    <x v="1"/>
    <x v="1"/>
    <x v="1"/>
    <x v="47"/>
    <x v="10"/>
    <x v="0"/>
    <x v="15"/>
    <x v="2"/>
    <x v="0"/>
    <x v="2"/>
    <x v="0"/>
    <x v="0"/>
    <x v="0"/>
    <x v="0"/>
    <x v="0"/>
    <x v="0"/>
  </r>
  <r>
    <n v="385"/>
    <x v="0"/>
    <x v="0"/>
    <x v="0"/>
    <x v="21"/>
    <x v="9"/>
    <x v="0"/>
    <x v="1"/>
    <x v="38"/>
    <x v="1"/>
    <x v="1"/>
    <x v="4"/>
    <x v="3"/>
    <x v="1"/>
    <x v="1"/>
    <x v="1"/>
    <x v="1"/>
    <x v="2"/>
  </r>
  <r>
    <n v="386"/>
    <x v="4"/>
    <x v="1"/>
    <x v="1"/>
    <x v="35"/>
    <x v="22"/>
    <x v="0"/>
    <x v="0"/>
    <x v="16"/>
    <x v="0"/>
    <x v="1"/>
    <x v="0"/>
    <x v="4"/>
    <x v="0"/>
    <x v="1"/>
    <x v="1"/>
    <x v="0"/>
    <x v="0"/>
  </r>
  <r>
    <n v="387"/>
    <x v="2"/>
    <x v="0"/>
    <x v="0"/>
    <x v="2"/>
    <x v="55"/>
    <x v="2"/>
    <x v="0"/>
    <x v="35"/>
    <x v="2"/>
    <x v="0"/>
    <x v="2"/>
    <x v="2"/>
    <x v="2"/>
    <x v="1"/>
    <x v="2"/>
    <x v="0"/>
    <x v="0"/>
  </r>
  <r>
    <n v="388"/>
    <x v="1"/>
    <x v="1"/>
    <x v="1"/>
    <x v="13"/>
    <x v="35"/>
    <x v="10"/>
    <x v="0"/>
    <x v="4"/>
    <x v="0"/>
    <x v="1"/>
    <x v="0"/>
    <x v="4"/>
    <x v="0"/>
    <x v="1"/>
    <x v="0"/>
    <x v="0"/>
    <x v="0"/>
  </r>
  <r>
    <n v="389"/>
    <x v="0"/>
    <x v="0"/>
    <x v="0"/>
    <x v="10"/>
    <x v="36"/>
    <x v="0"/>
    <x v="1"/>
    <x v="32"/>
    <x v="3"/>
    <x v="0"/>
    <x v="4"/>
    <x v="6"/>
    <x v="0"/>
    <x v="1"/>
    <x v="1"/>
    <x v="0"/>
    <x v="2"/>
  </r>
  <r>
    <n v="390"/>
    <x v="4"/>
    <x v="1"/>
    <x v="1"/>
    <x v="4"/>
    <x v="19"/>
    <x v="0"/>
    <x v="0"/>
    <x v="1"/>
    <x v="0"/>
    <x v="1"/>
    <x v="0"/>
    <x v="4"/>
    <x v="0"/>
    <x v="0"/>
    <x v="1"/>
    <x v="0"/>
    <x v="0"/>
  </r>
  <r>
    <n v="391"/>
    <x v="2"/>
    <x v="0"/>
    <x v="0"/>
    <x v="11"/>
    <x v="4"/>
    <x v="2"/>
    <x v="0"/>
    <x v="21"/>
    <x v="0"/>
    <x v="1"/>
    <x v="0"/>
    <x v="4"/>
    <x v="0"/>
    <x v="1"/>
    <x v="1"/>
    <x v="0"/>
    <x v="0"/>
  </r>
  <r>
    <n v="392"/>
    <x v="1"/>
    <x v="1"/>
    <x v="1"/>
    <x v="18"/>
    <x v="9"/>
    <x v="4"/>
    <x v="1"/>
    <x v="38"/>
    <x v="1"/>
    <x v="0"/>
    <x v="4"/>
    <x v="3"/>
    <x v="1"/>
    <x v="1"/>
    <x v="1"/>
    <x v="1"/>
    <x v="2"/>
  </r>
  <r>
    <n v="393"/>
    <x v="0"/>
    <x v="0"/>
    <x v="0"/>
    <x v="25"/>
    <x v="15"/>
    <x v="0"/>
    <x v="0"/>
    <x v="30"/>
    <x v="3"/>
    <x v="1"/>
    <x v="0"/>
    <x v="7"/>
    <x v="0"/>
    <x v="2"/>
    <x v="1"/>
    <x v="0"/>
    <x v="2"/>
  </r>
  <r>
    <n v="394"/>
    <x v="4"/>
    <x v="1"/>
    <x v="1"/>
    <x v="1"/>
    <x v="13"/>
    <x v="10"/>
    <x v="0"/>
    <x v="8"/>
    <x v="2"/>
    <x v="0"/>
    <x v="2"/>
    <x v="0"/>
    <x v="0"/>
    <x v="0"/>
    <x v="0"/>
    <x v="0"/>
    <x v="0"/>
  </r>
  <r>
    <n v="395"/>
    <x v="2"/>
    <x v="0"/>
    <x v="0"/>
    <x v="21"/>
    <x v="24"/>
    <x v="0"/>
    <x v="1"/>
    <x v="40"/>
    <x v="1"/>
    <x v="1"/>
    <x v="4"/>
    <x v="3"/>
    <x v="1"/>
    <x v="1"/>
    <x v="1"/>
    <x v="1"/>
    <x v="2"/>
  </r>
  <r>
    <n v="396"/>
    <x v="1"/>
    <x v="1"/>
    <x v="1"/>
    <x v="35"/>
    <x v="10"/>
    <x v="2"/>
    <x v="0"/>
    <x v="21"/>
    <x v="0"/>
    <x v="1"/>
    <x v="0"/>
    <x v="4"/>
    <x v="0"/>
    <x v="1"/>
    <x v="1"/>
    <x v="0"/>
    <x v="0"/>
  </r>
  <r>
    <n v="397"/>
    <x v="0"/>
    <x v="0"/>
    <x v="0"/>
    <x v="2"/>
    <x v="56"/>
    <x v="0"/>
    <x v="0"/>
    <x v="37"/>
    <x v="2"/>
    <x v="0"/>
    <x v="2"/>
    <x v="2"/>
    <x v="2"/>
    <x v="1"/>
    <x v="2"/>
    <x v="0"/>
    <x v="0"/>
  </r>
  <r>
    <n v="398"/>
    <x v="4"/>
    <x v="1"/>
    <x v="1"/>
    <x v="13"/>
    <x v="40"/>
    <x v="10"/>
    <x v="0"/>
    <x v="15"/>
    <x v="0"/>
    <x v="1"/>
    <x v="0"/>
    <x v="4"/>
    <x v="0"/>
    <x v="1"/>
    <x v="0"/>
    <x v="0"/>
    <x v="0"/>
  </r>
  <r>
    <n v="399"/>
    <x v="2"/>
    <x v="0"/>
    <x v="0"/>
    <x v="10"/>
    <x v="26"/>
    <x v="0"/>
    <x v="1"/>
    <x v="33"/>
    <x v="3"/>
    <x v="0"/>
    <x v="4"/>
    <x v="6"/>
    <x v="0"/>
    <x v="1"/>
    <x v="1"/>
    <x v="0"/>
    <x v="2"/>
  </r>
  <r>
    <n v="400"/>
    <x v="1"/>
    <x v="1"/>
    <x v="1"/>
    <x v="4"/>
    <x v="38"/>
    <x v="2"/>
    <x v="0"/>
    <x v="29"/>
    <x v="0"/>
    <x v="1"/>
    <x v="0"/>
    <x v="4"/>
    <x v="0"/>
    <x v="0"/>
    <x v="1"/>
    <x v="0"/>
    <x v="0"/>
  </r>
  <r>
    <n v="401"/>
    <x v="0"/>
    <x v="0"/>
    <x v="0"/>
    <x v="11"/>
    <x v="27"/>
    <x v="0"/>
    <x v="0"/>
    <x v="1"/>
    <x v="0"/>
    <x v="1"/>
    <x v="0"/>
    <x v="4"/>
    <x v="0"/>
    <x v="1"/>
    <x v="1"/>
    <x v="0"/>
    <x v="0"/>
  </r>
  <r>
    <n v="402"/>
    <x v="4"/>
    <x v="1"/>
    <x v="1"/>
    <x v="18"/>
    <x v="24"/>
    <x v="4"/>
    <x v="1"/>
    <x v="40"/>
    <x v="1"/>
    <x v="0"/>
    <x v="4"/>
    <x v="3"/>
    <x v="1"/>
    <x v="1"/>
    <x v="1"/>
    <x v="1"/>
    <x v="2"/>
  </r>
  <r>
    <n v="403"/>
    <x v="2"/>
    <x v="0"/>
    <x v="0"/>
    <x v="25"/>
    <x v="45"/>
    <x v="2"/>
    <x v="0"/>
    <x v="12"/>
    <x v="3"/>
    <x v="1"/>
    <x v="0"/>
    <x v="7"/>
    <x v="0"/>
    <x v="2"/>
    <x v="1"/>
    <x v="0"/>
    <x v="2"/>
  </r>
  <r>
    <n v="404"/>
    <x v="1"/>
    <x v="1"/>
    <x v="1"/>
    <x v="1"/>
    <x v="52"/>
    <x v="10"/>
    <x v="0"/>
    <x v="13"/>
    <x v="2"/>
    <x v="0"/>
    <x v="2"/>
    <x v="0"/>
    <x v="2"/>
    <x v="0"/>
    <x v="0"/>
    <x v="0"/>
    <x v="0"/>
  </r>
  <r>
    <n v="405"/>
    <x v="0"/>
    <x v="0"/>
    <x v="0"/>
    <x v="21"/>
    <x v="34"/>
    <x v="0"/>
    <x v="1"/>
    <x v="43"/>
    <x v="1"/>
    <x v="1"/>
    <x v="4"/>
    <x v="3"/>
    <x v="1"/>
    <x v="1"/>
    <x v="1"/>
    <x v="1"/>
    <x v="2"/>
  </r>
  <r>
    <n v="406"/>
    <x v="4"/>
    <x v="1"/>
    <x v="1"/>
    <x v="35"/>
    <x v="19"/>
    <x v="0"/>
    <x v="0"/>
    <x v="1"/>
    <x v="0"/>
    <x v="1"/>
    <x v="0"/>
    <x v="4"/>
    <x v="0"/>
    <x v="1"/>
    <x v="1"/>
    <x v="0"/>
    <x v="0"/>
  </r>
  <r>
    <n v="407"/>
    <x v="2"/>
    <x v="0"/>
    <x v="0"/>
    <x v="2"/>
    <x v="57"/>
    <x v="2"/>
    <x v="0"/>
    <x v="39"/>
    <x v="2"/>
    <x v="0"/>
    <x v="2"/>
    <x v="2"/>
    <x v="2"/>
    <x v="1"/>
    <x v="2"/>
    <x v="0"/>
    <x v="0"/>
  </r>
  <r>
    <n v="408"/>
    <x v="1"/>
    <x v="1"/>
    <x v="1"/>
    <x v="13"/>
    <x v="47"/>
    <x v="10"/>
    <x v="0"/>
    <x v="8"/>
    <x v="0"/>
    <x v="1"/>
    <x v="0"/>
    <x v="4"/>
    <x v="0"/>
    <x v="1"/>
    <x v="0"/>
    <x v="0"/>
    <x v="0"/>
  </r>
  <r>
    <n v="409"/>
    <x v="0"/>
    <x v="0"/>
    <x v="0"/>
    <x v="10"/>
    <x v="14"/>
    <x v="0"/>
    <x v="1"/>
    <x v="34"/>
    <x v="3"/>
    <x v="0"/>
    <x v="4"/>
    <x v="6"/>
    <x v="0"/>
    <x v="1"/>
    <x v="1"/>
    <x v="0"/>
    <x v="2"/>
  </r>
  <r>
    <n v="410"/>
    <x v="4"/>
    <x v="1"/>
    <x v="1"/>
    <x v="4"/>
    <x v="4"/>
    <x v="0"/>
    <x v="0"/>
    <x v="30"/>
    <x v="0"/>
    <x v="1"/>
    <x v="0"/>
    <x v="4"/>
    <x v="0"/>
    <x v="0"/>
    <x v="1"/>
    <x v="0"/>
    <x v="0"/>
  </r>
  <r>
    <n v="411"/>
    <x v="2"/>
    <x v="0"/>
    <x v="0"/>
    <x v="11"/>
    <x v="44"/>
    <x v="2"/>
    <x v="0"/>
    <x v="29"/>
    <x v="0"/>
    <x v="1"/>
    <x v="0"/>
    <x v="4"/>
    <x v="0"/>
    <x v="1"/>
    <x v="1"/>
    <x v="0"/>
    <x v="0"/>
  </r>
  <r>
    <n v="412"/>
    <x v="1"/>
    <x v="1"/>
    <x v="1"/>
    <x v="18"/>
    <x v="34"/>
    <x v="4"/>
    <x v="1"/>
    <x v="43"/>
    <x v="1"/>
    <x v="0"/>
    <x v="4"/>
    <x v="3"/>
    <x v="1"/>
    <x v="1"/>
    <x v="1"/>
    <x v="1"/>
    <x v="2"/>
  </r>
  <r>
    <n v="413"/>
    <x v="0"/>
    <x v="0"/>
    <x v="0"/>
    <x v="25"/>
    <x v="8"/>
    <x v="0"/>
    <x v="0"/>
    <x v="31"/>
    <x v="3"/>
    <x v="1"/>
    <x v="0"/>
    <x v="7"/>
    <x v="0"/>
    <x v="2"/>
    <x v="1"/>
    <x v="0"/>
    <x v="2"/>
  </r>
  <r>
    <n v="414"/>
    <x v="4"/>
    <x v="1"/>
    <x v="1"/>
    <x v="1"/>
    <x v="51"/>
    <x v="10"/>
    <x v="0"/>
    <x v="25"/>
    <x v="2"/>
    <x v="0"/>
    <x v="2"/>
    <x v="0"/>
    <x v="2"/>
    <x v="0"/>
    <x v="0"/>
    <x v="0"/>
    <x v="0"/>
  </r>
  <r>
    <n v="415"/>
    <x v="2"/>
    <x v="0"/>
    <x v="0"/>
    <x v="21"/>
    <x v="3"/>
    <x v="0"/>
    <x v="1"/>
    <x v="45"/>
    <x v="1"/>
    <x v="1"/>
    <x v="4"/>
    <x v="3"/>
    <x v="1"/>
    <x v="1"/>
    <x v="1"/>
    <x v="1"/>
    <x v="2"/>
  </r>
  <r>
    <n v="416"/>
    <x v="1"/>
    <x v="1"/>
    <x v="1"/>
    <x v="35"/>
    <x v="38"/>
    <x v="2"/>
    <x v="0"/>
    <x v="29"/>
    <x v="0"/>
    <x v="1"/>
    <x v="0"/>
    <x v="4"/>
    <x v="0"/>
    <x v="1"/>
    <x v="1"/>
    <x v="0"/>
    <x v="0"/>
  </r>
  <r>
    <n v="417"/>
    <x v="0"/>
    <x v="0"/>
    <x v="0"/>
    <x v="2"/>
    <x v="58"/>
    <x v="0"/>
    <x v="0"/>
    <x v="41"/>
    <x v="2"/>
    <x v="0"/>
    <x v="2"/>
    <x v="2"/>
    <x v="2"/>
    <x v="1"/>
    <x v="2"/>
    <x v="0"/>
    <x v="0"/>
  </r>
  <r>
    <n v="418"/>
    <x v="4"/>
    <x v="1"/>
    <x v="1"/>
    <x v="13"/>
    <x v="13"/>
    <x v="10"/>
    <x v="0"/>
    <x v="13"/>
    <x v="0"/>
    <x v="1"/>
    <x v="0"/>
    <x v="4"/>
    <x v="0"/>
    <x v="1"/>
    <x v="0"/>
    <x v="0"/>
    <x v="0"/>
  </r>
  <r>
    <n v="419"/>
    <x v="2"/>
    <x v="0"/>
    <x v="0"/>
    <x v="10"/>
    <x v="30"/>
    <x v="0"/>
    <x v="1"/>
    <x v="36"/>
    <x v="3"/>
    <x v="0"/>
    <x v="4"/>
    <x v="6"/>
    <x v="0"/>
    <x v="1"/>
    <x v="1"/>
    <x v="0"/>
    <x v="2"/>
  </r>
  <r>
    <n v="420"/>
    <x v="1"/>
    <x v="1"/>
    <x v="1"/>
    <x v="4"/>
    <x v="27"/>
    <x v="2"/>
    <x v="0"/>
    <x v="12"/>
    <x v="0"/>
    <x v="1"/>
    <x v="0"/>
    <x v="4"/>
    <x v="0"/>
    <x v="0"/>
    <x v="1"/>
    <x v="0"/>
    <x v="0"/>
  </r>
  <r>
    <n v="421"/>
    <x v="0"/>
    <x v="0"/>
    <x v="0"/>
    <x v="11"/>
    <x v="15"/>
    <x v="0"/>
    <x v="0"/>
    <x v="30"/>
    <x v="0"/>
    <x v="1"/>
    <x v="0"/>
    <x v="4"/>
    <x v="0"/>
    <x v="1"/>
    <x v="1"/>
    <x v="0"/>
    <x v="0"/>
  </r>
  <r>
    <n v="422"/>
    <x v="4"/>
    <x v="1"/>
    <x v="1"/>
    <x v="18"/>
    <x v="3"/>
    <x v="4"/>
    <x v="1"/>
    <x v="45"/>
    <x v="1"/>
    <x v="0"/>
    <x v="4"/>
    <x v="3"/>
    <x v="1"/>
    <x v="1"/>
    <x v="1"/>
    <x v="1"/>
    <x v="2"/>
  </r>
  <r>
    <n v="423"/>
    <x v="2"/>
    <x v="0"/>
    <x v="0"/>
    <x v="25"/>
    <x v="36"/>
    <x v="2"/>
    <x v="0"/>
    <x v="6"/>
    <x v="3"/>
    <x v="1"/>
    <x v="0"/>
    <x v="7"/>
    <x v="0"/>
    <x v="2"/>
    <x v="1"/>
    <x v="0"/>
    <x v="2"/>
  </r>
  <r>
    <n v="424"/>
    <x v="1"/>
    <x v="1"/>
    <x v="1"/>
    <x v="1"/>
    <x v="49"/>
    <x v="10"/>
    <x v="0"/>
    <x v="10"/>
    <x v="2"/>
    <x v="0"/>
    <x v="2"/>
    <x v="0"/>
    <x v="2"/>
    <x v="0"/>
    <x v="0"/>
    <x v="0"/>
    <x v="0"/>
  </r>
  <r>
    <n v="425"/>
    <x v="0"/>
    <x v="0"/>
    <x v="0"/>
    <x v="21"/>
    <x v="42"/>
    <x v="0"/>
    <x v="1"/>
    <x v="47"/>
    <x v="1"/>
    <x v="1"/>
    <x v="4"/>
    <x v="3"/>
    <x v="1"/>
    <x v="1"/>
    <x v="1"/>
    <x v="1"/>
    <x v="2"/>
  </r>
  <r>
    <n v="426"/>
    <x v="4"/>
    <x v="1"/>
    <x v="1"/>
    <x v="35"/>
    <x v="4"/>
    <x v="0"/>
    <x v="0"/>
    <x v="30"/>
    <x v="0"/>
    <x v="1"/>
    <x v="0"/>
    <x v="4"/>
    <x v="0"/>
    <x v="1"/>
    <x v="1"/>
    <x v="0"/>
    <x v="0"/>
  </r>
  <r>
    <n v="427"/>
    <x v="2"/>
    <x v="0"/>
    <x v="0"/>
    <x v="2"/>
    <x v="59"/>
    <x v="2"/>
    <x v="0"/>
    <x v="5"/>
    <x v="2"/>
    <x v="0"/>
    <x v="2"/>
    <x v="2"/>
    <x v="2"/>
    <x v="1"/>
    <x v="2"/>
    <x v="0"/>
    <x v="0"/>
  </r>
  <r>
    <n v="428"/>
    <x v="1"/>
    <x v="1"/>
    <x v="1"/>
    <x v="13"/>
    <x v="52"/>
    <x v="10"/>
    <x v="0"/>
    <x v="25"/>
    <x v="0"/>
    <x v="1"/>
    <x v="0"/>
    <x v="4"/>
    <x v="2"/>
    <x v="1"/>
    <x v="0"/>
    <x v="0"/>
    <x v="0"/>
  </r>
  <r>
    <n v="429"/>
    <x v="0"/>
    <x v="0"/>
    <x v="0"/>
    <x v="10"/>
    <x v="18"/>
    <x v="0"/>
    <x v="1"/>
    <x v="38"/>
    <x v="3"/>
    <x v="0"/>
    <x v="4"/>
    <x v="6"/>
    <x v="1"/>
    <x v="1"/>
    <x v="1"/>
    <x v="0"/>
    <x v="2"/>
  </r>
  <r>
    <n v="430"/>
    <x v="4"/>
    <x v="1"/>
    <x v="1"/>
    <x v="4"/>
    <x v="44"/>
    <x v="0"/>
    <x v="0"/>
    <x v="31"/>
    <x v="0"/>
    <x v="1"/>
    <x v="0"/>
    <x v="4"/>
    <x v="0"/>
    <x v="0"/>
    <x v="1"/>
    <x v="0"/>
    <x v="0"/>
  </r>
  <r>
    <n v="431"/>
    <x v="2"/>
    <x v="0"/>
    <x v="0"/>
    <x v="11"/>
    <x v="45"/>
    <x v="2"/>
    <x v="0"/>
    <x v="12"/>
    <x v="0"/>
    <x v="1"/>
    <x v="0"/>
    <x v="4"/>
    <x v="0"/>
    <x v="1"/>
    <x v="1"/>
    <x v="0"/>
    <x v="0"/>
  </r>
  <r>
    <n v="432"/>
    <x v="1"/>
    <x v="1"/>
    <x v="1"/>
    <x v="18"/>
    <x v="42"/>
    <x v="4"/>
    <x v="1"/>
    <x v="47"/>
    <x v="1"/>
    <x v="0"/>
    <x v="4"/>
    <x v="3"/>
    <x v="1"/>
    <x v="1"/>
    <x v="1"/>
    <x v="1"/>
    <x v="2"/>
  </r>
  <r>
    <n v="433"/>
    <x v="0"/>
    <x v="0"/>
    <x v="0"/>
    <x v="25"/>
    <x v="26"/>
    <x v="0"/>
    <x v="0"/>
    <x v="32"/>
    <x v="3"/>
    <x v="1"/>
    <x v="0"/>
    <x v="7"/>
    <x v="0"/>
    <x v="2"/>
    <x v="1"/>
    <x v="0"/>
    <x v="2"/>
  </r>
  <r>
    <n v="434"/>
    <x v="4"/>
    <x v="1"/>
    <x v="1"/>
    <x v="1"/>
    <x v="50"/>
    <x v="10"/>
    <x v="0"/>
    <x v="17"/>
    <x v="2"/>
    <x v="0"/>
    <x v="2"/>
    <x v="0"/>
    <x v="2"/>
    <x v="0"/>
    <x v="0"/>
    <x v="0"/>
    <x v="0"/>
  </r>
  <r>
    <n v="435"/>
    <x v="2"/>
    <x v="0"/>
    <x v="0"/>
    <x v="21"/>
    <x v="12"/>
    <x v="0"/>
    <x v="1"/>
    <x v="49"/>
    <x v="1"/>
    <x v="1"/>
    <x v="4"/>
    <x v="3"/>
    <x v="1"/>
    <x v="1"/>
    <x v="1"/>
    <x v="1"/>
    <x v="2"/>
  </r>
  <r>
    <n v="436"/>
    <x v="1"/>
    <x v="1"/>
    <x v="1"/>
    <x v="35"/>
    <x v="27"/>
    <x v="2"/>
    <x v="0"/>
    <x v="12"/>
    <x v="0"/>
    <x v="1"/>
    <x v="0"/>
    <x v="4"/>
    <x v="0"/>
    <x v="1"/>
    <x v="1"/>
    <x v="0"/>
    <x v="0"/>
  </r>
  <r>
    <n v="437"/>
    <x v="0"/>
    <x v="0"/>
    <x v="0"/>
    <x v="2"/>
    <x v="60"/>
    <x v="0"/>
    <x v="0"/>
    <x v="42"/>
    <x v="2"/>
    <x v="0"/>
    <x v="2"/>
    <x v="2"/>
    <x v="2"/>
    <x v="1"/>
    <x v="2"/>
    <x v="0"/>
    <x v="0"/>
  </r>
  <r>
    <n v="438"/>
    <x v="4"/>
    <x v="1"/>
    <x v="1"/>
    <x v="13"/>
    <x v="51"/>
    <x v="10"/>
    <x v="0"/>
    <x v="10"/>
    <x v="0"/>
    <x v="1"/>
    <x v="0"/>
    <x v="4"/>
    <x v="2"/>
    <x v="1"/>
    <x v="0"/>
    <x v="0"/>
    <x v="0"/>
  </r>
  <r>
    <n v="439"/>
    <x v="2"/>
    <x v="0"/>
    <x v="0"/>
    <x v="10"/>
    <x v="46"/>
    <x v="0"/>
    <x v="1"/>
    <x v="40"/>
    <x v="3"/>
    <x v="0"/>
    <x v="4"/>
    <x v="6"/>
    <x v="1"/>
    <x v="1"/>
    <x v="1"/>
    <x v="0"/>
    <x v="2"/>
  </r>
  <r>
    <n v="440"/>
    <x v="1"/>
    <x v="1"/>
    <x v="1"/>
    <x v="4"/>
    <x v="15"/>
    <x v="2"/>
    <x v="0"/>
    <x v="6"/>
    <x v="0"/>
    <x v="1"/>
    <x v="0"/>
    <x v="4"/>
    <x v="0"/>
    <x v="0"/>
    <x v="1"/>
    <x v="0"/>
    <x v="0"/>
  </r>
  <r>
    <n v="441"/>
    <x v="0"/>
    <x v="0"/>
    <x v="0"/>
    <x v="11"/>
    <x v="8"/>
    <x v="0"/>
    <x v="0"/>
    <x v="31"/>
    <x v="0"/>
    <x v="1"/>
    <x v="0"/>
    <x v="4"/>
    <x v="0"/>
    <x v="1"/>
    <x v="1"/>
    <x v="0"/>
    <x v="0"/>
  </r>
  <r>
    <n v="442"/>
    <x v="4"/>
    <x v="1"/>
    <x v="1"/>
    <x v="18"/>
    <x v="12"/>
    <x v="4"/>
    <x v="1"/>
    <x v="49"/>
    <x v="1"/>
    <x v="0"/>
    <x v="4"/>
    <x v="3"/>
    <x v="1"/>
    <x v="1"/>
    <x v="1"/>
    <x v="1"/>
    <x v="2"/>
  </r>
  <r>
    <n v="443"/>
    <x v="2"/>
    <x v="0"/>
    <x v="0"/>
    <x v="25"/>
    <x v="14"/>
    <x v="2"/>
    <x v="0"/>
    <x v="33"/>
    <x v="3"/>
    <x v="1"/>
    <x v="0"/>
    <x v="7"/>
    <x v="0"/>
    <x v="2"/>
    <x v="1"/>
    <x v="0"/>
    <x v="2"/>
  </r>
  <r>
    <n v="444"/>
    <x v="1"/>
    <x v="1"/>
    <x v="1"/>
    <x v="1"/>
    <x v="48"/>
    <x v="10"/>
    <x v="0"/>
    <x v="22"/>
    <x v="2"/>
    <x v="0"/>
    <x v="2"/>
    <x v="0"/>
    <x v="2"/>
    <x v="0"/>
    <x v="0"/>
    <x v="0"/>
    <x v="0"/>
  </r>
  <r>
    <n v="445"/>
    <x v="0"/>
    <x v="0"/>
    <x v="0"/>
    <x v="21"/>
    <x v="39"/>
    <x v="0"/>
    <x v="1"/>
    <x v="50"/>
    <x v="1"/>
    <x v="1"/>
    <x v="4"/>
    <x v="3"/>
    <x v="1"/>
    <x v="1"/>
    <x v="1"/>
    <x v="1"/>
    <x v="2"/>
  </r>
  <r>
    <n v="446"/>
    <x v="4"/>
    <x v="1"/>
    <x v="1"/>
    <x v="35"/>
    <x v="44"/>
    <x v="0"/>
    <x v="0"/>
    <x v="31"/>
    <x v="0"/>
    <x v="1"/>
    <x v="0"/>
    <x v="4"/>
    <x v="0"/>
    <x v="1"/>
    <x v="1"/>
    <x v="0"/>
    <x v="0"/>
  </r>
  <r>
    <n v="447"/>
    <x v="2"/>
    <x v="0"/>
    <x v="0"/>
    <x v="2"/>
    <x v="61"/>
    <x v="2"/>
    <x v="0"/>
    <x v="44"/>
    <x v="2"/>
    <x v="0"/>
    <x v="2"/>
    <x v="2"/>
    <x v="2"/>
    <x v="1"/>
    <x v="2"/>
    <x v="0"/>
    <x v="0"/>
  </r>
  <r>
    <n v="448"/>
    <x v="1"/>
    <x v="1"/>
    <x v="1"/>
    <x v="13"/>
    <x v="49"/>
    <x v="10"/>
    <x v="0"/>
    <x v="17"/>
    <x v="0"/>
    <x v="1"/>
    <x v="0"/>
    <x v="4"/>
    <x v="2"/>
    <x v="1"/>
    <x v="0"/>
    <x v="0"/>
    <x v="0"/>
  </r>
  <r>
    <n v="449"/>
    <x v="0"/>
    <x v="0"/>
    <x v="0"/>
    <x v="10"/>
    <x v="9"/>
    <x v="0"/>
    <x v="1"/>
    <x v="43"/>
    <x v="3"/>
    <x v="0"/>
    <x v="4"/>
    <x v="6"/>
    <x v="1"/>
    <x v="1"/>
    <x v="1"/>
    <x v="0"/>
    <x v="2"/>
  </r>
  <r>
    <n v="450"/>
    <x v="4"/>
    <x v="1"/>
    <x v="1"/>
    <x v="4"/>
    <x v="45"/>
    <x v="0"/>
    <x v="0"/>
    <x v="32"/>
    <x v="0"/>
    <x v="1"/>
    <x v="0"/>
    <x v="4"/>
    <x v="0"/>
    <x v="0"/>
    <x v="1"/>
    <x v="0"/>
    <x v="0"/>
  </r>
  <r>
    <n v="451"/>
    <x v="2"/>
    <x v="0"/>
    <x v="0"/>
    <x v="11"/>
    <x v="36"/>
    <x v="2"/>
    <x v="0"/>
    <x v="6"/>
    <x v="0"/>
    <x v="1"/>
    <x v="0"/>
    <x v="4"/>
    <x v="0"/>
    <x v="1"/>
    <x v="1"/>
    <x v="0"/>
    <x v="0"/>
  </r>
  <r>
    <n v="452"/>
    <x v="1"/>
    <x v="1"/>
    <x v="1"/>
    <x v="18"/>
    <x v="39"/>
    <x v="4"/>
    <x v="1"/>
    <x v="50"/>
    <x v="1"/>
    <x v="0"/>
    <x v="4"/>
    <x v="3"/>
    <x v="1"/>
    <x v="1"/>
    <x v="1"/>
    <x v="1"/>
    <x v="2"/>
  </r>
  <r>
    <n v="453"/>
    <x v="0"/>
    <x v="0"/>
    <x v="0"/>
    <x v="25"/>
    <x v="30"/>
    <x v="0"/>
    <x v="0"/>
    <x v="34"/>
    <x v="3"/>
    <x v="1"/>
    <x v="0"/>
    <x v="7"/>
    <x v="0"/>
    <x v="2"/>
    <x v="1"/>
    <x v="0"/>
    <x v="2"/>
  </r>
  <r>
    <n v="454"/>
    <x v="4"/>
    <x v="1"/>
    <x v="1"/>
    <x v="1"/>
    <x v="53"/>
    <x v="10"/>
    <x v="0"/>
    <x v="19"/>
    <x v="2"/>
    <x v="0"/>
    <x v="2"/>
    <x v="0"/>
    <x v="2"/>
    <x v="0"/>
    <x v="0"/>
    <x v="0"/>
    <x v="0"/>
  </r>
  <r>
    <n v="455"/>
    <x v="2"/>
    <x v="0"/>
    <x v="0"/>
    <x v="21"/>
    <x v="32"/>
    <x v="0"/>
    <x v="1"/>
    <x v="51"/>
    <x v="1"/>
    <x v="1"/>
    <x v="4"/>
    <x v="3"/>
    <x v="1"/>
    <x v="1"/>
    <x v="1"/>
    <x v="1"/>
    <x v="2"/>
  </r>
  <r>
    <n v="456"/>
    <x v="1"/>
    <x v="1"/>
    <x v="1"/>
    <x v="35"/>
    <x v="15"/>
    <x v="2"/>
    <x v="0"/>
    <x v="6"/>
    <x v="0"/>
    <x v="1"/>
    <x v="0"/>
    <x v="4"/>
    <x v="0"/>
    <x v="1"/>
    <x v="1"/>
    <x v="0"/>
    <x v="0"/>
  </r>
  <r>
    <n v="457"/>
    <x v="0"/>
    <x v="0"/>
    <x v="0"/>
    <x v="2"/>
    <x v="62"/>
    <x v="0"/>
    <x v="0"/>
    <x v="46"/>
    <x v="2"/>
    <x v="0"/>
    <x v="2"/>
    <x v="2"/>
    <x v="2"/>
    <x v="1"/>
    <x v="2"/>
    <x v="0"/>
    <x v="0"/>
  </r>
  <r>
    <n v="458"/>
    <x v="4"/>
    <x v="1"/>
    <x v="1"/>
    <x v="13"/>
    <x v="50"/>
    <x v="10"/>
    <x v="0"/>
    <x v="22"/>
    <x v="0"/>
    <x v="1"/>
    <x v="0"/>
    <x v="4"/>
    <x v="2"/>
    <x v="1"/>
    <x v="0"/>
    <x v="0"/>
    <x v="0"/>
  </r>
  <r>
    <n v="459"/>
    <x v="2"/>
    <x v="0"/>
    <x v="0"/>
    <x v="10"/>
    <x v="24"/>
    <x v="0"/>
    <x v="1"/>
    <x v="45"/>
    <x v="3"/>
    <x v="0"/>
    <x v="4"/>
    <x v="6"/>
    <x v="1"/>
    <x v="1"/>
    <x v="1"/>
    <x v="0"/>
    <x v="2"/>
  </r>
  <r>
    <n v="460"/>
    <x v="1"/>
    <x v="1"/>
    <x v="1"/>
    <x v="4"/>
    <x v="8"/>
    <x v="2"/>
    <x v="0"/>
    <x v="33"/>
    <x v="0"/>
    <x v="1"/>
    <x v="0"/>
    <x v="4"/>
    <x v="0"/>
    <x v="2"/>
    <x v="1"/>
    <x v="0"/>
    <x v="0"/>
  </r>
  <r>
    <n v="461"/>
    <x v="0"/>
    <x v="0"/>
    <x v="0"/>
    <x v="11"/>
    <x v="26"/>
    <x v="0"/>
    <x v="0"/>
    <x v="32"/>
    <x v="0"/>
    <x v="1"/>
    <x v="0"/>
    <x v="4"/>
    <x v="0"/>
    <x v="1"/>
    <x v="1"/>
    <x v="0"/>
    <x v="0"/>
  </r>
  <r>
    <n v="462"/>
    <x v="4"/>
    <x v="1"/>
    <x v="1"/>
    <x v="18"/>
    <x v="32"/>
    <x v="4"/>
    <x v="1"/>
    <x v="51"/>
    <x v="1"/>
    <x v="0"/>
    <x v="4"/>
    <x v="3"/>
    <x v="1"/>
    <x v="1"/>
    <x v="1"/>
    <x v="1"/>
    <x v="2"/>
  </r>
  <r>
    <n v="463"/>
    <x v="2"/>
    <x v="0"/>
    <x v="0"/>
    <x v="25"/>
    <x v="18"/>
    <x v="2"/>
    <x v="0"/>
    <x v="36"/>
    <x v="3"/>
    <x v="1"/>
    <x v="0"/>
    <x v="7"/>
    <x v="1"/>
    <x v="2"/>
    <x v="1"/>
    <x v="0"/>
    <x v="2"/>
  </r>
  <r>
    <n v="464"/>
    <x v="1"/>
    <x v="1"/>
    <x v="1"/>
    <x v="1"/>
    <x v="5"/>
    <x v="10"/>
    <x v="0"/>
    <x v="23"/>
    <x v="2"/>
    <x v="0"/>
    <x v="2"/>
    <x v="0"/>
    <x v="2"/>
    <x v="0"/>
    <x v="0"/>
    <x v="0"/>
    <x v="0"/>
  </r>
  <r>
    <n v="465"/>
    <x v="0"/>
    <x v="0"/>
    <x v="0"/>
    <x v="21"/>
    <x v="21"/>
    <x v="0"/>
    <x v="1"/>
    <x v="52"/>
    <x v="1"/>
    <x v="1"/>
    <x v="4"/>
    <x v="3"/>
    <x v="1"/>
    <x v="1"/>
    <x v="1"/>
    <x v="1"/>
    <x v="2"/>
  </r>
  <r>
    <n v="466"/>
    <x v="4"/>
    <x v="1"/>
    <x v="1"/>
    <x v="35"/>
    <x v="45"/>
    <x v="0"/>
    <x v="0"/>
    <x v="32"/>
    <x v="0"/>
    <x v="1"/>
    <x v="0"/>
    <x v="4"/>
    <x v="0"/>
    <x v="1"/>
    <x v="1"/>
    <x v="0"/>
    <x v="0"/>
  </r>
  <r>
    <n v="467"/>
    <x v="2"/>
    <x v="0"/>
    <x v="0"/>
    <x v="2"/>
    <x v="63"/>
    <x v="2"/>
    <x v="0"/>
    <x v="48"/>
    <x v="2"/>
    <x v="0"/>
    <x v="2"/>
    <x v="2"/>
    <x v="2"/>
    <x v="1"/>
    <x v="2"/>
    <x v="0"/>
    <x v="0"/>
  </r>
  <r>
    <n v="468"/>
    <x v="1"/>
    <x v="1"/>
    <x v="1"/>
    <x v="13"/>
    <x v="48"/>
    <x v="10"/>
    <x v="0"/>
    <x v="19"/>
    <x v="0"/>
    <x v="1"/>
    <x v="0"/>
    <x v="4"/>
    <x v="2"/>
    <x v="1"/>
    <x v="0"/>
    <x v="0"/>
    <x v="0"/>
  </r>
  <r>
    <n v="469"/>
    <x v="0"/>
    <x v="0"/>
    <x v="0"/>
    <x v="10"/>
    <x v="34"/>
    <x v="0"/>
    <x v="1"/>
    <x v="47"/>
    <x v="3"/>
    <x v="0"/>
    <x v="4"/>
    <x v="6"/>
    <x v="1"/>
    <x v="1"/>
    <x v="1"/>
    <x v="0"/>
    <x v="2"/>
  </r>
  <r>
    <n v="470"/>
    <x v="4"/>
    <x v="1"/>
    <x v="1"/>
    <x v="4"/>
    <x v="36"/>
    <x v="0"/>
    <x v="0"/>
    <x v="34"/>
    <x v="0"/>
    <x v="1"/>
    <x v="0"/>
    <x v="4"/>
    <x v="0"/>
    <x v="2"/>
    <x v="1"/>
    <x v="0"/>
    <x v="0"/>
  </r>
  <r>
    <n v="471"/>
    <x v="2"/>
    <x v="0"/>
    <x v="0"/>
    <x v="11"/>
    <x v="14"/>
    <x v="2"/>
    <x v="0"/>
    <x v="33"/>
    <x v="0"/>
    <x v="1"/>
    <x v="0"/>
    <x v="4"/>
    <x v="0"/>
    <x v="1"/>
    <x v="1"/>
    <x v="0"/>
    <x v="0"/>
  </r>
  <r>
    <n v="472"/>
    <x v="1"/>
    <x v="1"/>
    <x v="1"/>
    <x v="18"/>
    <x v="21"/>
    <x v="4"/>
    <x v="1"/>
    <x v="52"/>
    <x v="1"/>
    <x v="0"/>
    <x v="4"/>
    <x v="3"/>
    <x v="1"/>
    <x v="1"/>
    <x v="1"/>
    <x v="1"/>
    <x v="2"/>
  </r>
  <r>
    <n v="473"/>
    <x v="0"/>
    <x v="0"/>
    <x v="0"/>
    <x v="25"/>
    <x v="46"/>
    <x v="0"/>
    <x v="0"/>
    <x v="38"/>
    <x v="3"/>
    <x v="1"/>
    <x v="0"/>
    <x v="7"/>
    <x v="1"/>
    <x v="2"/>
    <x v="1"/>
    <x v="0"/>
    <x v="2"/>
  </r>
  <r>
    <n v="474"/>
    <x v="4"/>
    <x v="1"/>
    <x v="1"/>
    <x v="1"/>
    <x v="54"/>
    <x v="10"/>
    <x v="0"/>
    <x v="2"/>
    <x v="2"/>
    <x v="0"/>
    <x v="2"/>
    <x v="0"/>
    <x v="2"/>
    <x v="2"/>
    <x v="2"/>
    <x v="0"/>
    <x v="0"/>
  </r>
  <r>
    <n v="475"/>
    <x v="2"/>
    <x v="0"/>
    <x v="0"/>
    <x v="21"/>
    <x v="41"/>
    <x v="0"/>
    <x v="1"/>
    <x v="53"/>
    <x v="1"/>
    <x v="1"/>
    <x v="4"/>
    <x v="3"/>
    <x v="1"/>
    <x v="1"/>
    <x v="1"/>
    <x v="1"/>
    <x v="2"/>
  </r>
  <r>
    <n v="476"/>
    <x v="1"/>
    <x v="1"/>
    <x v="1"/>
    <x v="35"/>
    <x v="8"/>
    <x v="2"/>
    <x v="0"/>
    <x v="33"/>
    <x v="0"/>
    <x v="1"/>
    <x v="0"/>
    <x v="4"/>
    <x v="0"/>
    <x v="1"/>
    <x v="1"/>
    <x v="0"/>
    <x v="0"/>
  </r>
  <r>
    <n v="477"/>
    <x v="0"/>
    <x v="0"/>
    <x v="0"/>
    <x v="2"/>
    <x v="64"/>
    <x v="0"/>
    <x v="0"/>
    <x v="54"/>
    <x v="2"/>
    <x v="0"/>
    <x v="2"/>
    <x v="2"/>
    <x v="2"/>
    <x v="1"/>
    <x v="2"/>
    <x v="0"/>
    <x v="0"/>
  </r>
  <r>
    <n v="478"/>
    <x v="4"/>
    <x v="1"/>
    <x v="1"/>
    <x v="13"/>
    <x v="53"/>
    <x v="10"/>
    <x v="0"/>
    <x v="23"/>
    <x v="0"/>
    <x v="1"/>
    <x v="0"/>
    <x v="4"/>
    <x v="2"/>
    <x v="1"/>
    <x v="0"/>
    <x v="0"/>
    <x v="0"/>
  </r>
  <r>
    <n v="479"/>
    <x v="2"/>
    <x v="0"/>
    <x v="0"/>
    <x v="10"/>
    <x v="3"/>
    <x v="0"/>
    <x v="1"/>
    <x v="49"/>
    <x v="3"/>
    <x v="0"/>
    <x v="4"/>
    <x v="6"/>
    <x v="1"/>
    <x v="1"/>
    <x v="1"/>
    <x v="0"/>
    <x v="2"/>
  </r>
  <r>
    <n v="480"/>
    <x v="1"/>
    <x v="1"/>
    <x v="1"/>
    <x v="4"/>
    <x v="26"/>
    <x v="2"/>
    <x v="0"/>
    <x v="36"/>
    <x v="0"/>
    <x v="1"/>
    <x v="0"/>
    <x v="4"/>
    <x v="0"/>
    <x v="2"/>
    <x v="1"/>
    <x v="0"/>
    <x v="0"/>
  </r>
  <r>
    <n v="481"/>
    <x v="0"/>
    <x v="0"/>
    <x v="0"/>
    <x v="11"/>
    <x v="30"/>
    <x v="0"/>
    <x v="0"/>
    <x v="34"/>
    <x v="0"/>
    <x v="1"/>
    <x v="0"/>
    <x v="4"/>
    <x v="0"/>
    <x v="1"/>
    <x v="1"/>
    <x v="0"/>
    <x v="0"/>
  </r>
  <r>
    <n v="482"/>
    <x v="4"/>
    <x v="1"/>
    <x v="1"/>
    <x v="18"/>
    <x v="41"/>
    <x v="4"/>
    <x v="1"/>
    <x v="53"/>
    <x v="1"/>
    <x v="0"/>
    <x v="4"/>
    <x v="3"/>
    <x v="1"/>
    <x v="1"/>
    <x v="1"/>
    <x v="1"/>
    <x v="2"/>
  </r>
  <r>
    <n v="483"/>
    <x v="2"/>
    <x v="0"/>
    <x v="0"/>
    <x v="25"/>
    <x v="9"/>
    <x v="2"/>
    <x v="0"/>
    <x v="40"/>
    <x v="3"/>
    <x v="1"/>
    <x v="0"/>
    <x v="7"/>
    <x v="1"/>
    <x v="2"/>
    <x v="1"/>
    <x v="0"/>
    <x v="2"/>
  </r>
  <r>
    <n v="484"/>
    <x v="1"/>
    <x v="1"/>
    <x v="1"/>
    <x v="1"/>
    <x v="55"/>
    <x v="10"/>
    <x v="0"/>
    <x v="35"/>
    <x v="2"/>
    <x v="0"/>
    <x v="2"/>
    <x v="0"/>
    <x v="2"/>
    <x v="2"/>
    <x v="2"/>
    <x v="0"/>
    <x v="0"/>
  </r>
  <r>
    <n v="485"/>
    <x v="0"/>
    <x v="0"/>
    <x v="0"/>
    <x v="21"/>
    <x v="37"/>
    <x v="0"/>
    <x v="1"/>
    <x v="55"/>
    <x v="1"/>
    <x v="1"/>
    <x v="4"/>
    <x v="3"/>
    <x v="1"/>
    <x v="1"/>
    <x v="1"/>
    <x v="1"/>
    <x v="2"/>
  </r>
  <r>
    <n v="486"/>
    <x v="4"/>
    <x v="1"/>
    <x v="1"/>
    <x v="35"/>
    <x v="36"/>
    <x v="0"/>
    <x v="0"/>
    <x v="34"/>
    <x v="0"/>
    <x v="1"/>
    <x v="0"/>
    <x v="4"/>
    <x v="0"/>
    <x v="1"/>
    <x v="1"/>
    <x v="0"/>
    <x v="0"/>
  </r>
  <r>
    <n v="487"/>
    <x v="2"/>
    <x v="0"/>
    <x v="0"/>
    <x v="2"/>
    <x v="65"/>
    <x v="2"/>
    <x v="0"/>
    <x v="56"/>
    <x v="2"/>
    <x v="0"/>
    <x v="2"/>
    <x v="2"/>
    <x v="2"/>
    <x v="0"/>
    <x v="2"/>
    <x v="0"/>
    <x v="0"/>
  </r>
  <r>
    <n v="488"/>
    <x v="1"/>
    <x v="1"/>
    <x v="1"/>
    <x v="13"/>
    <x v="5"/>
    <x v="10"/>
    <x v="0"/>
    <x v="2"/>
    <x v="0"/>
    <x v="1"/>
    <x v="0"/>
    <x v="4"/>
    <x v="2"/>
    <x v="1"/>
    <x v="2"/>
    <x v="0"/>
    <x v="0"/>
  </r>
  <r>
    <n v="489"/>
    <x v="0"/>
    <x v="0"/>
    <x v="0"/>
    <x v="10"/>
    <x v="42"/>
    <x v="0"/>
    <x v="1"/>
    <x v="50"/>
    <x v="3"/>
    <x v="0"/>
    <x v="4"/>
    <x v="6"/>
    <x v="1"/>
    <x v="1"/>
    <x v="1"/>
    <x v="0"/>
    <x v="2"/>
  </r>
  <r>
    <n v="490"/>
    <x v="4"/>
    <x v="1"/>
    <x v="1"/>
    <x v="4"/>
    <x v="14"/>
    <x v="0"/>
    <x v="0"/>
    <x v="38"/>
    <x v="0"/>
    <x v="1"/>
    <x v="0"/>
    <x v="4"/>
    <x v="0"/>
    <x v="1"/>
    <x v="1"/>
    <x v="0"/>
    <x v="0"/>
  </r>
  <r>
    <n v="491"/>
    <x v="2"/>
    <x v="0"/>
    <x v="0"/>
    <x v="11"/>
    <x v="18"/>
    <x v="2"/>
    <x v="0"/>
    <x v="36"/>
    <x v="0"/>
    <x v="1"/>
    <x v="0"/>
    <x v="4"/>
    <x v="1"/>
    <x v="0"/>
    <x v="1"/>
    <x v="0"/>
    <x v="0"/>
  </r>
  <r>
    <n v="492"/>
    <x v="1"/>
    <x v="1"/>
    <x v="1"/>
    <x v="18"/>
    <x v="37"/>
    <x v="4"/>
    <x v="1"/>
    <x v="55"/>
    <x v="1"/>
    <x v="0"/>
    <x v="4"/>
    <x v="3"/>
    <x v="1"/>
    <x v="0"/>
    <x v="1"/>
    <x v="1"/>
    <x v="2"/>
  </r>
  <r>
    <n v="493"/>
    <x v="0"/>
    <x v="0"/>
    <x v="0"/>
    <x v="25"/>
    <x v="24"/>
    <x v="0"/>
    <x v="0"/>
    <x v="43"/>
    <x v="3"/>
    <x v="1"/>
    <x v="0"/>
    <x v="7"/>
    <x v="1"/>
    <x v="0"/>
    <x v="1"/>
    <x v="0"/>
    <x v="2"/>
  </r>
  <r>
    <n v="494"/>
    <x v="4"/>
    <x v="1"/>
    <x v="1"/>
    <x v="1"/>
    <x v="56"/>
    <x v="10"/>
    <x v="0"/>
    <x v="37"/>
    <x v="2"/>
    <x v="0"/>
    <x v="2"/>
    <x v="0"/>
    <x v="2"/>
    <x v="1"/>
    <x v="2"/>
    <x v="0"/>
    <x v="0"/>
  </r>
  <r>
    <n v="495"/>
    <x v="2"/>
    <x v="0"/>
    <x v="0"/>
    <x v="21"/>
    <x v="28"/>
    <x v="0"/>
    <x v="1"/>
    <x v="57"/>
    <x v="1"/>
    <x v="1"/>
    <x v="4"/>
    <x v="3"/>
    <x v="1"/>
    <x v="0"/>
    <x v="1"/>
    <x v="1"/>
    <x v="2"/>
  </r>
  <r>
    <n v="496"/>
    <x v="1"/>
    <x v="1"/>
    <x v="1"/>
    <x v="35"/>
    <x v="26"/>
    <x v="2"/>
    <x v="0"/>
    <x v="36"/>
    <x v="0"/>
    <x v="1"/>
    <x v="0"/>
    <x v="4"/>
    <x v="0"/>
    <x v="1"/>
    <x v="1"/>
    <x v="0"/>
    <x v="0"/>
  </r>
  <r>
    <n v="497"/>
    <x v="0"/>
    <x v="0"/>
    <x v="0"/>
    <x v="2"/>
    <x v="66"/>
    <x v="0"/>
    <x v="0"/>
    <x v="58"/>
    <x v="2"/>
    <x v="0"/>
    <x v="2"/>
    <x v="2"/>
    <x v="2"/>
    <x v="0"/>
    <x v="2"/>
    <x v="0"/>
    <x v="0"/>
  </r>
  <r>
    <n v="498"/>
    <x v="4"/>
    <x v="1"/>
    <x v="1"/>
    <x v="13"/>
    <x v="54"/>
    <x v="10"/>
    <x v="0"/>
    <x v="35"/>
    <x v="0"/>
    <x v="1"/>
    <x v="0"/>
    <x v="4"/>
    <x v="2"/>
    <x v="1"/>
    <x v="2"/>
    <x v="0"/>
    <x v="0"/>
  </r>
  <r>
    <n v="499"/>
    <x v="2"/>
    <x v="0"/>
    <x v="0"/>
    <x v="10"/>
    <x v="12"/>
    <x v="0"/>
    <x v="1"/>
    <x v="51"/>
    <x v="3"/>
    <x v="0"/>
    <x v="4"/>
    <x v="6"/>
    <x v="1"/>
    <x v="1"/>
    <x v="1"/>
    <x v="0"/>
    <x v="2"/>
  </r>
  <r>
    <n v="500"/>
    <x v="1"/>
    <x v="1"/>
    <x v="1"/>
    <x v="4"/>
    <x v="30"/>
    <x v="2"/>
    <x v="0"/>
    <x v="40"/>
    <x v="0"/>
    <x v="1"/>
    <x v="0"/>
    <x v="4"/>
    <x v="0"/>
    <x v="1"/>
    <x v="1"/>
    <x v="0"/>
    <x v="0"/>
  </r>
  <r>
    <n v="501"/>
    <x v="0"/>
    <x v="0"/>
    <x v="0"/>
    <x v="7"/>
    <x v="35"/>
    <x v="10"/>
    <x v="0"/>
    <x v="27"/>
    <x v="0"/>
    <x v="1"/>
    <x v="0"/>
    <x v="4"/>
    <x v="0"/>
    <x v="0"/>
    <x v="0"/>
    <x v="0"/>
    <x v="0"/>
  </r>
  <r>
    <n v="502"/>
    <x v="4"/>
    <x v="1"/>
    <x v="1"/>
    <x v="15"/>
    <x v="4"/>
    <x v="11"/>
    <x v="1"/>
    <x v="12"/>
    <x v="3"/>
    <x v="0"/>
    <x v="4"/>
    <x v="6"/>
    <x v="0"/>
    <x v="0"/>
    <x v="1"/>
    <x v="0"/>
    <x v="2"/>
  </r>
  <r>
    <n v="503"/>
    <x v="2"/>
    <x v="0"/>
    <x v="0"/>
    <x v="19"/>
    <x v="26"/>
    <x v="0"/>
    <x v="1"/>
    <x v="33"/>
    <x v="1"/>
    <x v="1"/>
    <x v="4"/>
    <x v="3"/>
    <x v="0"/>
    <x v="0"/>
    <x v="1"/>
    <x v="1"/>
    <x v="2"/>
  </r>
  <r>
    <n v="504"/>
    <x v="1"/>
    <x v="1"/>
    <x v="1"/>
    <x v="26"/>
    <x v="19"/>
    <x v="0"/>
    <x v="0"/>
    <x v="1"/>
    <x v="3"/>
    <x v="0"/>
    <x v="0"/>
    <x v="7"/>
    <x v="0"/>
    <x v="1"/>
    <x v="1"/>
    <x v="0"/>
    <x v="2"/>
  </r>
  <r>
    <n v="505"/>
    <x v="0"/>
    <x v="0"/>
    <x v="0"/>
    <x v="27"/>
    <x v="43"/>
    <x v="2"/>
    <x v="0"/>
    <x v="3"/>
    <x v="0"/>
    <x v="1"/>
    <x v="0"/>
    <x v="4"/>
    <x v="0"/>
    <x v="0"/>
    <x v="0"/>
    <x v="0"/>
    <x v="0"/>
  </r>
  <r>
    <n v="506"/>
    <x v="4"/>
    <x v="1"/>
    <x v="1"/>
    <x v="28"/>
    <x v="11"/>
    <x v="10"/>
    <x v="0"/>
    <x v="11"/>
    <x v="0"/>
    <x v="1"/>
    <x v="0"/>
    <x v="4"/>
    <x v="0"/>
    <x v="1"/>
    <x v="0"/>
    <x v="0"/>
    <x v="0"/>
  </r>
  <r>
    <n v="507"/>
    <x v="2"/>
    <x v="0"/>
    <x v="0"/>
    <x v="37"/>
    <x v="13"/>
    <x v="0"/>
    <x v="0"/>
    <x v="0"/>
    <x v="2"/>
    <x v="0"/>
    <x v="2"/>
    <x v="0"/>
    <x v="0"/>
    <x v="0"/>
    <x v="0"/>
    <x v="0"/>
    <x v="0"/>
  </r>
  <r>
    <n v="508"/>
    <x v="1"/>
    <x v="1"/>
    <x v="1"/>
    <x v="60"/>
    <x v="15"/>
    <x v="4"/>
    <x v="1"/>
    <x v="31"/>
    <x v="3"/>
    <x v="1"/>
    <x v="4"/>
    <x v="6"/>
    <x v="0"/>
    <x v="1"/>
    <x v="1"/>
    <x v="0"/>
    <x v="2"/>
  </r>
  <r>
    <n v="509"/>
    <x v="0"/>
    <x v="0"/>
    <x v="0"/>
    <x v="1"/>
    <x v="49"/>
    <x v="10"/>
    <x v="0"/>
    <x v="4"/>
    <x v="2"/>
    <x v="0"/>
    <x v="2"/>
    <x v="0"/>
    <x v="2"/>
    <x v="1"/>
    <x v="0"/>
    <x v="0"/>
    <x v="0"/>
  </r>
  <r>
    <n v="510"/>
    <x v="4"/>
    <x v="1"/>
    <x v="1"/>
    <x v="4"/>
    <x v="10"/>
    <x v="0"/>
    <x v="0"/>
    <x v="21"/>
    <x v="3"/>
    <x v="1"/>
    <x v="0"/>
    <x v="7"/>
    <x v="0"/>
    <x v="1"/>
    <x v="1"/>
    <x v="0"/>
    <x v="2"/>
  </r>
  <r>
    <n v="511"/>
    <x v="2"/>
    <x v="0"/>
    <x v="0"/>
    <x v="7"/>
    <x v="25"/>
    <x v="0"/>
    <x v="0"/>
    <x v="26"/>
    <x v="0"/>
    <x v="1"/>
    <x v="0"/>
    <x v="4"/>
    <x v="0"/>
    <x v="0"/>
    <x v="0"/>
    <x v="0"/>
    <x v="0"/>
  </r>
  <r>
    <n v="512"/>
    <x v="1"/>
    <x v="1"/>
    <x v="1"/>
    <x v="15"/>
    <x v="27"/>
    <x v="11"/>
    <x v="1"/>
    <x v="31"/>
    <x v="3"/>
    <x v="0"/>
    <x v="4"/>
    <x v="6"/>
    <x v="0"/>
    <x v="0"/>
    <x v="1"/>
    <x v="0"/>
    <x v="2"/>
  </r>
  <r>
    <n v="513"/>
    <x v="0"/>
    <x v="0"/>
    <x v="0"/>
    <x v="19"/>
    <x v="14"/>
    <x v="2"/>
    <x v="1"/>
    <x v="34"/>
    <x v="1"/>
    <x v="1"/>
    <x v="4"/>
    <x v="3"/>
    <x v="0"/>
    <x v="0"/>
    <x v="1"/>
    <x v="1"/>
    <x v="2"/>
  </r>
  <r>
    <n v="514"/>
    <x v="4"/>
    <x v="1"/>
    <x v="1"/>
    <x v="26"/>
    <x v="38"/>
    <x v="0"/>
    <x v="0"/>
    <x v="29"/>
    <x v="3"/>
    <x v="0"/>
    <x v="0"/>
    <x v="7"/>
    <x v="0"/>
    <x v="1"/>
    <x v="1"/>
    <x v="0"/>
    <x v="2"/>
  </r>
  <r>
    <n v="515"/>
    <x v="2"/>
    <x v="0"/>
    <x v="0"/>
    <x v="27"/>
    <x v="0"/>
    <x v="2"/>
    <x v="0"/>
    <x v="18"/>
    <x v="0"/>
    <x v="1"/>
    <x v="0"/>
    <x v="4"/>
    <x v="0"/>
    <x v="0"/>
    <x v="0"/>
    <x v="0"/>
    <x v="0"/>
  </r>
  <r>
    <n v="516"/>
    <x v="1"/>
    <x v="1"/>
    <x v="1"/>
    <x v="28"/>
    <x v="33"/>
    <x v="10"/>
    <x v="0"/>
    <x v="14"/>
    <x v="0"/>
    <x v="1"/>
    <x v="0"/>
    <x v="4"/>
    <x v="0"/>
    <x v="1"/>
    <x v="0"/>
    <x v="0"/>
    <x v="0"/>
  </r>
  <r>
    <n v="517"/>
    <x v="0"/>
    <x v="0"/>
    <x v="0"/>
    <x v="37"/>
    <x v="52"/>
    <x v="0"/>
    <x v="0"/>
    <x v="26"/>
    <x v="2"/>
    <x v="0"/>
    <x v="2"/>
    <x v="0"/>
    <x v="2"/>
    <x v="0"/>
    <x v="0"/>
    <x v="0"/>
    <x v="0"/>
  </r>
  <r>
    <n v="518"/>
    <x v="4"/>
    <x v="1"/>
    <x v="1"/>
    <x v="60"/>
    <x v="45"/>
    <x v="4"/>
    <x v="1"/>
    <x v="6"/>
    <x v="3"/>
    <x v="1"/>
    <x v="4"/>
    <x v="6"/>
    <x v="0"/>
    <x v="1"/>
    <x v="1"/>
    <x v="0"/>
    <x v="2"/>
  </r>
  <r>
    <n v="519"/>
    <x v="2"/>
    <x v="0"/>
    <x v="0"/>
    <x v="1"/>
    <x v="50"/>
    <x v="10"/>
    <x v="0"/>
    <x v="15"/>
    <x v="2"/>
    <x v="0"/>
    <x v="2"/>
    <x v="0"/>
    <x v="2"/>
    <x v="1"/>
    <x v="0"/>
    <x v="0"/>
    <x v="0"/>
  </r>
  <r>
    <n v="520"/>
    <x v="1"/>
    <x v="1"/>
    <x v="1"/>
    <x v="4"/>
    <x v="19"/>
    <x v="2"/>
    <x v="0"/>
    <x v="1"/>
    <x v="3"/>
    <x v="1"/>
    <x v="0"/>
    <x v="7"/>
    <x v="0"/>
    <x v="1"/>
    <x v="1"/>
    <x v="0"/>
    <x v="2"/>
  </r>
  <r>
    <n v="521"/>
    <x v="0"/>
    <x v="0"/>
    <x v="0"/>
    <x v="7"/>
    <x v="2"/>
    <x v="10"/>
    <x v="0"/>
    <x v="0"/>
    <x v="0"/>
    <x v="1"/>
    <x v="0"/>
    <x v="4"/>
    <x v="0"/>
    <x v="0"/>
    <x v="0"/>
    <x v="0"/>
    <x v="0"/>
  </r>
  <r>
    <n v="522"/>
    <x v="4"/>
    <x v="1"/>
    <x v="1"/>
    <x v="15"/>
    <x v="44"/>
    <x v="11"/>
    <x v="1"/>
    <x v="6"/>
    <x v="3"/>
    <x v="0"/>
    <x v="4"/>
    <x v="6"/>
    <x v="0"/>
    <x v="0"/>
    <x v="1"/>
    <x v="0"/>
    <x v="2"/>
  </r>
  <r>
    <n v="523"/>
    <x v="2"/>
    <x v="0"/>
    <x v="0"/>
    <x v="19"/>
    <x v="30"/>
    <x v="0"/>
    <x v="1"/>
    <x v="36"/>
    <x v="1"/>
    <x v="1"/>
    <x v="4"/>
    <x v="3"/>
    <x v="0"/>
    <x v="0"/>
    <x v="1"/>
    <x v="1"/>
    <x v="2"/>
  </r>
  <r>
    <n v="524"/>
    <x v="1"/>
    <x v="1"/>
    <x v="1"/>
    <x v="26"/>
    <x v="4"/>
    <x v="4"/>
    <x v="0"/>
    <x v="30"/>
    <x v="3"/>
    <x v="0"/>
    <x v="0"/>
    <x v="7"/>
    <x v="0"/>
    <x v="1"/>
    <x v="1"/>
    <x v="0"/>
    <x v="2"/>
  </r>
  <r>
    <n v="525"/>
    <x v="0"/>
    <x v="0"/>
    <x v="0"/>
    <x v="27"/>
    <x v="20"/>
    <x v="2"/>
    <x v="0"/>
    <x v="11"/>
    <x v="0"/>
    <x v="1"/>
    <x v="0"/>
    <x v="4"/>
    <x v="0"/>
    <x v="0"/>
    <x v="0"/>
    <x v="0"/>
    <x v="0"/>
  </r>
  <r>
    <n v="526"/>
    <x v="4"/>
    <x v="1"/>
    <x v="1"/>
    <x v="28"/>
    <x v="23"/>
    <x v="10"/>
    <x v="0"/>
    <x v="20"/>
    <x v="0"/>
    <x v="1"/>
    <x v="0"/>
    <x v="4"/>
    <x v="0"/>
    <x v="1"/>
    <x v="0"/>
    <x v="0"/>
    <x v="0"/>
  </r>
  <r>
    <n v="527"/>
    <x v="2"/>
    <x v="0"/>
    <x v="0"/>
    <x v="37"/>
    <x v="51"/>
    <x v="0"/>
    <x v="0"/>
    <x v="27"/>
    <x v="2"/>
    <x v="0"/>
    <x v="2"/>
    <x v="0"/>
    <x v="2"/>
    <x v="0"/>
    <x v="0"/>
    <x v="0"/>
    <x v="0"/>
  </r>
  <r>
    <n v="528"/>
    <x v="1"/>
    <x v="1"/>
    <x v="1"/>
    <x v="60"/>
    <x v="8"/>
    <x v="4"/>
    <x v="1"/>
    <x v="32"/>
    <x v="3"/>
    <x v="1"/>
    <x v="4"/>
    <x v="6"/>
    <x v="0"/>
    <x v="1"/>
    <x v="1"/>
    <x v="0"/>
    <x v="2"/>
  </r>
  <r>
    <n v="529"/>
    <x v="0"/>
    <x v="0"/>
    <x v="0"/>
    <x v="1"/>
    <x v="48"/>
    <x v="10"/>
    <x v="0"/>
    <x v="8"/>
    <x v="2"/>
    <x v="0"/>
    <x v="2"/>
    <x v="0"/>
    <x v="2"/>
    <x v="1"/>
    <x v="0"/>
    <x v="0"/>
    <x v="0"/>
  </r>
  <r>
    <n v="530"/>
    <x v="4"/>
    <x v="1"/>
    <x v="1"/>
    <x v="4"/>
    <x v="38"/>
    <x v="0"/>
    <x v="0"/>
    <x v="29"/>
    <x v="3"/>
    <x v="1"/>
    <x v="0"/>
    <x v="7"/>
    <x v="0"/>
    <x v="1"/>
    <x v="1"/>
    <x v="0"/>
    <x v="2"/>
  </r>
  <r>
    <n v="531"/>
    <x v="2"/>
    <x v="0"/>
    <x v="0"/>
    <x v="7"/>
    <x v="29"/>
    <x v="2"/>
    <x v="0"/>
    <x v="20"/>
    <x v="0"/>
    <x v="1"/>
    <x v="0"/>
    <x v="4"/>
    <x v="0"/>
    <x v="0"/>
    <x v="0"/>
    <x v="0"/>
    <x v="0"/>
  </r>
  <r>
    <n v="532"/>
    <x v="1"/>
    <x v="1"/>
    <x v="1"/>
    <x v="15"/>
    <x v="15"/>
    <x v="11"/>
    <x v="1"/>
    <x v="32"/>
    <x v="3"/>
    <x v="0"/>
    <x v="4"/>
    <x v="6"/>
    <x v="0"/>
    <x v="0"/>
    <x v="1"/>
    <x v="0"/>
    <x v="2"/>
  </r>
  <r>
    <n v="533"/>
    <x v="0"/>
    <x v="0"/>
    <x v="0"/>
    <x v="19"/>
    <x v="18"/>
    <x v="0"/>
    <x v="1"/>
    <x v="38"/>
    <x v="1"/>
    <x v="1"/>
    <x v="4"/>
    <x v="3"/>
    <x v="1"/>
    <x v="0"/>
    <x v="1"/>
    <x v="1"/>
    <x v="2"/>
  </r>
  <r>
    <n v="534"/>
    <x v="4"/>
    <x v="1"/>
    <x v="1"/>
    <x v="26"/>
    <x v="27"/>
    <x v="4"/>
    <x v="0"/>
    <x v="12"/>
    <x v="3"/>
    <x v="0"/>
    <x v="0"/>
    <x v="7"/>
    <x v="0"/>
    <x v="1"/>
    <x v="1"/>
    <x v="0"/>
    <x v="2"/>
  </r>
  <r>
    <n v="535"/>
    <x v="2"/>
    <x v="0"/>
    <x v="0"/>
    <x v="27"/>
    <x v="31"/>
    <x v="2"/>
    <x v="0"/>
    <x v="14"/>
    <x v="0"/>
    <x v="1"/>
    <x v="0"/>
    <x v="4"/>
    <x v="0"/>
    <x v="0"/>
    <x v="0"/>
    <x v="0"/>
    <x v="0"/>
  </r>
  <r>
    <n v="536"/>
    <x v="1"/>
    <x v="1"/>
    <x v="1"/>
    <x v="28"/>
    <x v="7"/>
    <x v="10"/>
    <x v="0"/>
    <x v="0"/>
    <x v="0"/>
    <x v="1"/>
    <x v="0"/>
    <x v="4"/>
    <x v="0"/>
    <x v="1"/>
    <x v="0"/>
    <x v="0"/>
    <x v="0"/>
  </r>
  <r>
    <n v="537"/>
    <x v="0"/>
    <x v="0"/>
    <x v="0"/>
    <x v="37"/>
    <x v="49"/>
    <x v="0"/>
    <x v="0"/>
    <x v="7"/>
    <x v="2"/>
    <x v="0"/>
    <x v="2"/>
    <x v="0"/>
    <x v="2"/>
    <x v="0"/>
    <x v="0"/>
    <x v="0"/>
    <x v="0"/>
  </r>
  <r>
    <n v="538"/>
    <x v="4"/>
    <x v="1"/>
    <x v="1"/>
    <x v="60"/>
    <x v="36"/>
    <x v="4"/>
    <x v="1"/>
    <x v="33"/>
    <x v="3"/>
    <x v="1"/>
    <x v="4"/>
    <x v="6"/>
    <x v="0"/>
    <x v="1"/>
    <x v="1"/>
    <x v="0"/>
    <x v="2"/>
  </r>
  <r>
    <n v="539"/>
    <x v="2"/>
    <x v="0"/>
    <x v="0"/>
    <x v="1"/>
    <x v="53"/>
    <x v="10"/>
    <x v="0"/>
    <x v="13"/>
    <x v="2"/>
    <x v="0"/>
    <x v="2"/>
    <x v="0"/>
    <x v="2"/>
    <x v="1"/>
    <x v="0"/>
    <x v="0"/>
    <x v="0"/>
  </r>
  <r>
    <n v="540"/>
    <x v="1"/>
    <x v="1"/>
    <x v="1"/>
    <x v="4"/>
    <x v="4"/>
    <x v="2"/>
    <x v="0"/>
    <x v="30"/>
    <x v="3"/>
    <x v="1"/>
    <x v="0"/>
    <x v="7"/>
    <x v="0"/>
    <x v="1"/>
    <x v="1"/>
    <x v="0"/>
    <x v="2"/>
  </r>
  <r>
    <n v="541"/>
    <x v="0"/>
    <x v="0"/>
    <x v="0"/>
    <x v="7"/>
    <x v="7"/>
    <x v="10"/>
    <x v="0"/>
    <x v="14"/>
    <x v="0"/>
    <x v="1"/>
    <x v="0"/>
    <x v="4"/>
    <x v="0"/>
    <x v="0"/>
    <x v="0"/>
    <x v="0"/>
    <x v="0"/>
  </r>
  <r>
    <n v="542"/>
    <x v="4"/>
    <x v="1"/>
    <x v="1"/>
    <x v="15"/>
    <x v="45"/>
    <x v="11"/>
    <x v="1"/>
    <x v="33"/>
    <x v="3"/>
    <x v="0"/>
    <x v="4"/>
    <x v="6"/>
    <x v="0"/>
    <x v="0"/>
    <x v="1"/>
    <x v="0"/>
    <x v="2"/>
  </r>
  <r>
    <n v="543"/>
    <x v="2"/>
    <x v="0"/>
    <x v="0"/>
    <x v="19"/>
    <x v="46"/>
    <x v="0"/>
    <x v="1"/>
    <x v="40"/>
    <x v="1"/>
    <x v="1"/>
    <x v="4"/>
    <x v="3"/>
    <x v="1"/>
    <x v="0"/>
    <x v="1"/>
    <x v="1"/>
    <x v="2"/>
  </r>
  <r>
    <n v="544"/>
    <x v="1"/>
    <x v="1"/>
    <x v="1"/>
    <x v="26"/>
    <x v="44"/>
    <x v="0"/>
    <x v="0"/>
    <x v="31"/>
    <x v="3"/>
    <x v="0"/>
    <x v="0"/>
    <x v="7"/>
    <x v="0"/>
    <x v="1"/>
    <x v="1"/>
    <x v="0"/>
    <x v="2"/>
  </r>
  <r>
    <n v="545"/>
    <x v="0"/>
    <x v="0"/>
    <x v="0"/>
    <x v="27"/>
    <x v="11"/>
    <x v="2"/>
    <x v="0"/>
    <x v="20"/>
    <x v="0"/>
    <x v="1"/>
    <x v="0"/>
    <x v="4"/>
    <x v="0"/>
    <x v="0"/>
    <x v="0"/>
    <x v="0"/>
    <x v="0"/>
  </r>
  <r>
    <n v="546"/>
    <x v="4"/>
    <x v="1"/>
    <x v="1"/>
    <x v="28"/>
    <x v="29"/>
    <x v="10"/>
    <x v="0"/>
    <x v="26"/>
    <x v="0"/>
    <x v="1"/>
    <x v="0"/>
    <x v="4"/>
    <x v="0"/>
    <x v="1"/>
    <x v="0"/>
    <x v="0"/>
    <x v="0"/>
  </r>
  <r>
    <n v="547"/>
    <x v="2"/>
    <x v="0"/>
    <x v="0"/>
    <x v="37"/>
    <x v="50"/>
    <x v="0"/>
    <x v="0"/>
    <x v="28"/>
    <x v="2"/>
    <x v="0"/>
    <x v="2"/>
    <x v="0"/>
    <x v="2"/>
    <x v="0"/>
    <x v="0"/>
    <x v="0"/>
    <x v="0"/>
  </r>
  <r>
    <n v="548"/>
    <x v="1"/>
    <x v="1"/>
    <x v="1"/>
    <x v="60"/>
    <x v="26"/>
    <x v="4"/>
    <x v="1"/>
    <x v="34"/>
    <x v="3"/>
    <x v="1"/>
    <x v="4"/>
    <x v="6"/>
    <x v="0"/>
    <x v="1"/>
    <x v="1"/>
    <x v="0"/>
    <x v="2"/>
  </r>
  <r>
    <n v="549"/>
    <x v="0"/>
    <x v="0"/>
    <x v="0"/>
    <x v="1"/>
    <x v="5"/>
    <x v="10"/>
    <x v="0"/>
    <x v="25"/>
    <x v="2"/>
    <x v="0"/>
    <x v="2"/>
    <x v="0"/>
    <x v="2"/>
    <x v="1"/>
    <x v="0"/>
    <x v="0"/>
    <x v="0"/>
  </r>
  <r>
    <n v="550"/>
    <x v="4"/>
    <x v="1"/>
    <x v="1"/>
    <x v="4"/>
    <x v="27"/>
    <x v="0"/>
    <x v="0"/>
    <x v="12"/>
    <x v="3"/>
    <x v="1"/>
    <x v="0"/>
    <x v="7"/>
    <x v="0"/>
    <x v="1"/>
    <x v="1"/>
    <x v="0"/>
    <x v="2"/>
  </r>
  <r>
    <n v="551"/>
    <x v="2"/>
    <x v="0"/>
    <x v="0"/>
    <x v="7"/>
    <x v="23"/>
    <x v="2"/>
    <x v="0"/>
    <x v="11"/>
    <x v="0"/>
    <x v="1"/>
    <x v="0"/>
    <x v="4"/>
    <x v="0"/>
    <x v="0"/>
    <x v="0"/>
    <x v="0"/>
    <x v="0"/>
  </r>
  <r>
    <n v="552"/>
    <x v="1"/>
    <x v="1"/>
    <x v="1"/>
    <x v="15"/>
    <x v="8"/>
    <x v="11"/>
    <x v="1"/>
    <x v="34"/>
    <x v="3"/>
    <x v="0"/>
    <x v="4"/>
    <x v="6"/>
    <x v="0"/>
    <x v="0"/>
    <x v="1"/>
    <x v="0"/>
    <x v="2"/>
  </r>
  <r>
    <n v="553"/>
    <x v="0"/>
    <x v="0"/>
    <x v="0"/>
    <x v="19"/>
    <x v="9"/>
    <x v="0"/>
    <x v="1"/>
    <x v="43"/>
    <x v="1"/>
    <x v="1"/>
    <x v="4"/>
    <x v="3"/>
    <x v="1"/>
    <x v="0"/>
    <x v="1"/>
    <x v="1"/>
    <x v="2"/>
  </r>
  <r>
    <n v="554"/>
    <x v="4"/>
    <x v="1"/>
    <x v="1"/>
    <x v="26"/>
    <x v="15"/>
    <x v="4"/>
    <x v="0"/>
    <x v="6"/>
    <x v="3"/>
    <x v="0"/>
    <x v="0"/>
    <x v="7"/>
    <x v="0"/>
    <x v="1"/>
    <x v="1"/>
    <x v="0"/>
    <x v="2"/>
  </r>
  <r>
    <n v="555"/>
    <x v="2"/>
    <x v="0"/>
    <x v="0"/>
    <x v="27"/>
    <x v="33"/>
    <x v="2"/>
    <x v="0"/>
    <x v="0"/>
    <x v="0"/>
    <x v="1"/>
    <x v="0"/>
    <x v="4"/>
    <x v="0"/>
    <x v="0"/>
    <x v="0"/>
    <x v="0"/>
    <x v="0"/>
  </r>
  <r>
    <n v="556"/>
    <x v="1"/>
    <x v="1"/>
    <x v="1"/>
    <x v="28"/>
    <x v="2"/>
    <x v="10"/>
    <x v="0"/>
    <x v="27"/>
    <x v="0"/>
    <x v="1"/>
    <x v="0"/>
    <x v="4"/>
    <x v="0"/>
    <x v="1"/>
    <x v="0"/>
    <x v="0"/>
    <x v="0"/>
  </r>
  <r>
    <n v="557"/>
    <x v="0"/>
    <x v="0"/>
    <x v="0"/>
    <x v="37"/>
    <x v="48"/>
    <x v="0"/>
    <x v="0"/>
    <x v="4"/>
    <x v="2"/>
    <x v="0"/>
    <x v="2"/>
    <x v="0"/>
    <x v="2"/>
    <x v="1"/>
    <x v="0"/>
    <x v="0"/>
    <x v="0"/>
  </r>
  <r>
    <n v="558"/>
    <x v="4"/>
    <x v="1"/>
    <x v="1"/>
    <x v="60"/>
    <x v="14"/>
    <x v="4"/>
    <x v="1"/>
    <x v="36"/>
    <x v="3"/>
    <x v="1"/>
    <x v="4"/>
    <x v="6"/>
    <x v="0"/>
    <x v="1"/>
    <x v="1"/>
    <x v="0"/>
    <x v="2"/>
  </r>
  <r>
    <n v="559"/>
    <x v="2"/>
    <x v="0"/>
    <x v="0"/>
    <x v="1"/>
    <x v="54"/>
    <x v="10"/>
    <x v="0"/>
    <x v="10"/>
    <x v="2"/>
    <x v="0"/>
    <x v="2"/>
    <x v="0"/>
    <x v="2"/>
    <x v="0"/>
    <x v="0"/>
    <x v="0"/>
    <x v="0"/>
  </r>
  <r>
    <n v="560"/>
    <x v="1"/>
    <x v="1"/>
    <x v="1"/>
    <x v="4"/>
    <x v="44"/>
    <x v="2"/>
    <x v="0"/>
    <x v="31"/>
    <x v="3"/>
    <x v="1"/>
    <x v="0"/>
    <x v="7"/>
    <x v="0"/>
    <x v="0"/>
    <x v="1"/>
    <x v="0"/>
    <x v="2"/>
  </r>
  <r>
    <n v="561"/>
    <x v="0"/>
    <x v="0"/>
    <x v="0"/>
    <x v="7"/>
    <x v="33"/>
    <x v="10"/>
    <x v="0"/>
    <x v="18"/>
    <x v="0"/>
    <x v="1"/>
    <x v="0"/>
    <x v="4"/>
    <x v="0"/>
    <x v="1"/>
    <x v="0"/>
    <x v="0"/>
    <x v="0"/>
  </r>
  <r>
    <n v="562"/>
    <x v="4"/>
    <x v="1"/>
    <x v="1"/>
    <x v="15"/>
    <x v="36"/>
    <x v="11"/>
    <x v="1"/>
    <x v="36"/>
    <x v="3"/>
    <x v="0"/>
    <x v="4"/>
    <x v="6"/>
    <x v="0"/>
    <x v="0"/>
    <x v="1"/>
    <x v="0"/>
    <x v="2"/>
  </r>
  <r>
    <n v="563"/>
    <x v="2"/>
    <x v="0"/>
    <x v="0"/>
    <x v="19"/>
    <x v="24"/>
    <x v="0"/>
    <x v="1"/>
    <x v="45"/>
    <x v="1"/>
    <x v="1"/>
    <x v="4"/>
    <x v="3"/>
    <x v="1"/>
    <x v="0"/>
    <x v="1"/>
    <x v="1"/>
    <x v="2"/>
  </r>
  <r>
    <n v="564"/>
    <x v="1"/>
    <x v="1"/>
    <x v="1"/>
    <x v="26"/>
    <x v="45"/>
    <x v="0"/>
    <x v="0"/>
    <x v="32"/>
    <x v="3"/>
    <x v="0"/>
    <x v="0"/>
    <x v="7"/>
    <x v="0"/>
    <x v="0"/>
    <x v="1"/>
    <x v="0"/>
    <x v="2"/>
  </r>
  <r>
    <n v="565"/>
    <x v="0"/>
    <x v="0"/>
    <x v="0"/>
    <x v="27"/>
    <x v="23"/>
    <x v="2"/>
    <x v="0"/>
    <x v="26"/>
    <x v="0"/>
    <x v="1"/>
    <x v="0"/>
    <x v="4"/>
    <x v="0"/>
    <x v="1"/>
    <x v="0"/>
    <x v="0"/>
    <x v="0"/>
  </r>
  <r>
    <n v="566"/>
    <x v="4"/>
    <x v="1"/>
    <x v="1"/>
    <x v="28"/>
    <x v="25"/>
    <x v="10"/>
    <x v="0"/>
    <x v="7"/>
    <x v="0"/>
    <x v="1"/>
    <x v="0"/>
    <x v="4"/>
    <x v="0"/>
    <x v="0"/>
    <x v="0"/>
    <x v="0"/>
    <x v="0"/>
  </r>
  <r>
    <n v="567"/>
    <x v="2"/>
    <x v="0"/>
    <x v="0"/>
    <x v="37"/>
    <x v="53"/>
    <x v="0"/>
    <x v="0"/>
    <x v="15"/>
    <x v="2"/>
    <x v="0"/>
    <x v="2"/>
    <x v="0"/>
    <x v="2"/>
    <x v="0"/>
    <x v="0"/>
    <x v="0"/>
    <x v="0"/>
  </r>
  <r>
    <n v="568"/>
    <x v="1"/>
    <x v="1"/>
    <x v="1"/>
    <x v="60"/>
    <x v="30"/>
    <x v="4"/>
    <x v="1"/>
    <x v="38"/>
    <x v="3"/>
    <x v="1"/>
    <x v="4"/>
    <x v="6"/>
    <x v="0"/>
    <x v="1"/>
    <x v="1"/>
    <x v="0"/>
    <x v="2"/>
  </r>
  <r>
    <n v="569"/>
    <x v="0"/>
    <x v="0"/>
    <x v="0"/>
    <x v="1"/>
    <x v="55"/>
    <x v="10"/>
    <x v="0"/>
    <x v="17"/>
    <x v="2"/>
    <x v="0"/>
    <x v="2"/>
    <x v="0"/>
    <x v="2"/>
    <x v="0"/>
    <x v="0"/>
    <x v="0"/>
    <x v="0"/>
  </r>
  <r>
    <n v="570"/>
    <x v="4"/>
    <x v="1"/>
    <x v="1"/>
    <x v="4"/>
    <x v="15"/>
    <x v="0"/>
    <x v="0"/>
    <x v="6"/>
    <x v="3"/>
    <x v="1"/>
    <x v="0"/>
    <x v="7"/>
    <x v="0"/>
    <x v="0"/>
    <x v="1"/>
    <x v="0"/>
    <x v="2"/>
  </r>
  <r>
    <n v="571"/>
    <x v="2"/>
    <x v="0"/>
    <x v="0"/>
    <x v="11"/>
    <x v="25"/>
    <x v="0"/>
    <x v="0"/>
    <x v="9"/>
    <x v="2"/>
    <x v="1"/>
    <x v="2"/>
    <x v="4"/>
    <x v="0"/>
    <x v="1"/>
    <x v="1"/>
    <x v="0"/>
    <x v="0"/>
  </r>
  <r>
    <n v="572"/>
    <x v="5"/>
    <x v="1"/>
    <x v="1"/>
    <x v="18"/>
    <x v="26"/>
    <x v="1"/>
    <x v="1"/>
    <x v="12"/>
    <x v="1"/>
    <x v="0"/>
    <x v="4"/>
    <x v="3"/>
    <x v="0"/>
    <x v="0"/>
    <x v="1"/>
    <x v="1"/>
    <x v="2"/>
  </r>
  <r>
    <n v="573"/>
    <x v="0"/>
    <x v="0"/>
    <x v="0"/>
    <x v="25"/>
    <x v="11"/>
    <x v="2"/>
    <x v="0"/>
    <x v="11"/>
    <x v="0"/>
    <x v="1"/>
    <x v="2"/>
    <x v="0"/>
    <x v="0"/>
    <x v="1"/>
    <x v="0"/>
    <x v="0"/>
    <x v="0"/>
  </r>
  <r>
    <n v="574"/>
    <x v="1"/>
    <x v="1"/>
    <x v="1"/>
    <x v="1"/>
    <x v="5"/>
    <x v="4"/>
    <x v="0"/>
    <x v="15"/>
    <x v="4"/>
    <x v="1"/>
    <x v="5"/>
    <x v="2"/>
    <x v="2"/>
    <x v="0"/>
    <x v="0"/>
    <x v="2"/>
    <x v="0"/>
  </r>
  <r>
    <n v="575"/>
    <x v="4"/>
    <x v="0"/>
    <x v="0"/>
    <x v="21"/>
    <x v="15"/>
    <x v="0"/>
    <x v="1"/>
    <x v="1"/>
    <x v="3"/>
    <x v="0"/>
    <x v="4"/>
    <x v="6"/>
    <x v="0"/>
    <x v="1"/>
    <x v="1"/>
    <x v="0"/>
    <x v="2"/>
  </r>
  <r>
    <n v="576"/>
    <x v="6"/>
    <x v="1"/>
    <x v="1"/>
    <x v="35"/>
    <x v="49"/>
    <x v="2"/>
    <x v="0"/>
    <x v="7"/>
    <x v="2"/>
    <x v="1"/>
    <x v="2"/>
    <x v="0"/>
    <x v="2"/>
    <x v="0"/>
    <x v="0"/>
    <x v="0"/>
    <x v="0"/>
  </r>
  <r>
    <n v="577"/>
    <x v="2"/>
    <x v="0"/>
    <x v="0"/>
    <x v="2"/>
    <x v="29"/>
    <x v="0"/>
    <x v="0"/>
    <x v="14"/>
    <x v="0"/>
    <x v="0"/>
    <x v="0"/>
    <x v="4"/>
    <x v="0"/>
    <x v="0"/>
    <x v="0"/>
    <x v="0"/>
    <x v="0"/>
  </r>
  <r>
    <n v="578"/>
    <x v="1"/>
    <x v="1"/>
    <x v="1"/>
    <x v="13"/>
    <x v="13"/>
    <x v="4"/>
    <x v="0"/>
    <x v="28"/>
    <x v="2"/>
    <x v="1"/>
    <x v="2"/>
    <x v="0"/>
    <x v="0"/>
    <x v="1"/>
    <x v="0"/>
    <x v="0"/>
    <x v="0"/>
  </r>
  <r>
    <n v="579"/>
    <x v="0"/>
    <x v="0"/>
    <x v="0"/>
    <x v="10"/>
    <x v="19"/>
    <x v="1"/>
    <x v="1"/>
    <x v="21"/>
    <x v="3"/>
    <x v="1"/>
    <x v="4"/>
    <x v="6"/>
    <x v="0"/>
    <x v="0"/>
    <x v="1"/>
    <x v="0"/>
    <x v="2"/>
  </r>
  <r>
    <n v="580"/>
    <x v="5"/>
    <x v="1"/>
    <x v="1"/>
    <x v="4"/>
    <x v="0"/>
    <x v="0"/>
    <x v="0"/>
    <x v="3"/>
    <x v="0"/>
    <x v="0"/>
    <x v="0"/>
    <x v="7"/>
    <x v="0"/>
    <x v="0"/>
    <x v="0"/>
    <x v="0"/>
    <x v="2"/>
  </r>
  <r>
    <n v="581"/>
    <x v="4"/>
    <x v="0"/>
    <x v="0"/>
    <x v="3"/>
    <x v="40"/>
    <x v="2"/>
    <x v="0"/>
    <x v="26"/>
    <x v="2"/>
    <x v="1"/>
    <x v="2"/>
    <x v="0"/>
    <x v="0"/>
    <x v="0"/>
    <x v="0"/>
    <x v="0"/>
    <x v="0"/>
  </r>
  <r>
    <n v="582"/>
    <x v="6"/>
    <x v="1"/>
    <x v="1"/>
    <x v="12"/>
    <x v="22"/>
    <x v="4"/>
    <x v="1"/>
    <x v="16"/>
    <x v="3"/>
    <x v="0"/>
    <x v="4"/>
    <x v="6"/>
    <x v="0"/>
    <x v="0"/>
    <x v="1"/>
    <x v="0"/>
    <x v="2"/>
  </r>
  <r>
    <n v="583"/>
    <x v="2"/>
    <x v="0"/>
    <x v="0"/>
    <x v="14"/>
    <x v="51"/>
    <x v="0"/>
    <x v="0"/>
    <x v="4"/>
    <x v="2"/>
    <x v="1"/>
    <x v="2"/>
    <x v="0"/>
    <x v="2"/>
    <x v="1"/>
    <x v="0"/>
    <x v="0"/>
    <x v="0"/>
  </r>
  <r>
    <n v="584"/>
    <x v="1"/>
    <x v="1"/>
    <x v="1"/>
    <x v="15"/>
    <x v="7"/>
    <x v="11"/>
    <x v="0"/>
    <x v="0"/>
    <x v="0"/>
    <x v="0"/>
    <x v="0"/>
    <x v="4"/>
    <x v="0"/>
    <x v="0"/>
    <x v="0"/>
    <x v="0"/>
    <x v="0"/>
  </r>
  <r>
    <n v="585"/>
    <x v="0"/>
    <x v="0"/>
    <x v="0"/>
    <x v="8"/>
    <x v="4"/>
    <x v="1"/>
    <x v="1"/>
    <x v="29"/>
    <x v="1"/>
    <x v="1"/>
    <x v="4"/>
    <x v="3"/>
    <x v="0"/>
    <x v="1"/>
    <x v="1"/>
    <x v="1"/>
    <x v="2"/>
  </r>
  <r>
    <n v="586"/>
    <x v="5"/>
    <x v="1"/>
    <x v="1"/>
    <x v="60"/>
    <x v="47"/>
    <x v="4"/>
    <x v="0"/>
    <x v="27"/>
    <x v="2"/>
    <x v="1"/>
    <x v="2"/>
    <x v="0"/>
    <x v="0"/>
    <x v="0"/>
    <x v="0"/>
    <x v="0"/>
    <x v="0"/>
  </r>
  <r>
    <n v="587"/>
    <x v="4"/>
    <x v="0"/>
    <x v="0"/>
    <x v="59"/>
    <x v="45"/>
    <x v="0"/>
    <x v="1"/>
    <x v="30"/>
    <x v="3"/>
    <x v="0"/>
    <x v="4"/>
    <x v="6"/>
    <x v="0"/>
    <x v="0"/>
    <x v="1"/>
    <x v="0"/>
    <x v="2"/>
  </r>
  <r>
    <n v="588"/>
    <x v="6"/>
    <x v="1"/>
    <x v="1"/>
    <x v="11"/>
    <x v="52"/>
    <x v="2"/>
    <x v="0"/>
    <x v="7"/>
    <x v="2"/>
    <x v="1"/>
    <x v="2"/>
    <x v="0"/>
    <x v="2"/>
    <x v="1"/>
    <x v="0"/>
    <x v="0"/>
    <x v="0"/>
  </r>
  <r>
    <n v="589"/>
    <x v="2"/>
    <x v="0"/>
    <x v="0"/>
    <x v="18"/>
    <x v="27"/>
    <x v="0"/>
    <x v="1"/>
    <x v="21"/>
    <x v="3"/>
    <x v="0"/>
    <x v="4"/>
    <x v="6"/>
    <x v="0"/>
    <x v="0"/>
    <x v="1"/>
    <x v="0"/>
    <x v="2"/>
  </r>
  <r>
    <n v="590"/>
    <x v="1"/>
    <x v="1"/>
    <x v="1"/>
    <x v="25"/>
    <x v="23"/>
    <x v="1"/>
    <x v="0"/>
    <x v="11"/>
    <x v="0"/>
    <x v="1"/>
    <x v="0"/>
    <x v="4"/>
    <x v="0"/>
    <x v="1"/>
    <x v="0"/>
    <x v="0"/>
    <x v="0"/>
  </r>
  <r>
    <n v="591"/>
    <x v="0"/>
    <x v="0"/>
    <x v="0"/>
    <x v="1"/>
    <x v="48"/>
    <x v="0"/>
    <x v="0"/>
    <x v="8"/>
    <x v="4"/>
    <x v="1"/>
    <x v="5"/>
    <x v="2"/>
    <x v="2"/>
    <x v="0"/>
    <x v="0"/>
    <x v="2"/>
    <x v="0"/>
  </r>
  <r>
    <n v="592"/>
    <x v="5"/>
    <x v="1"/>
    <x v="1"/>
    <x v="21"/>
    <x v="44"/>
    <x v="4"/>
    <x v="1"/>
    <x v="1"/>
    <x v="3"/>
    <x v="0"/>
    <x v="4"/>
    <x v="6"/>
    <x v="0"/>
    <x v="1"/>
    <x v="1"/>
    <x v="0"/>
    <x v="2"/>
  </r>
  <r>
    <n v="593"/>
    <x v="4"/>
    <x v="0"/>
    <x v="0"/>
    <x v="35"/>
    <x v="50"/>
    <x v="2"/>
    <x v="0"/>
    <x v="28"/>
    <x v="2"/>
    <x v="1"/>
    <x v="2"/>
    <x v="0"/>
    <x v="2"/>
    <x v="0"/>
    <x v="0"/>
    <x v="0"/>
    <x v="0"/>
  </r>
  <r>
    <n v="594"/>
    <x v="6"/>
    <x v="1"/>
    <x v="1"/>
    <x v="2"/>
    <x v="33"/>
    <x v="0"/>
    <x v="0"/>
    <x v="18"/>
    <x v="0"/>
    <x v="0"/>
    <x v="0"/>
    <x v="4"/>
    <x v="0"/>
    <x v="0"/>
    <x v="0"/>
    <x v="0"/>
    <x v="0"/>
  </r>
  <r>
    <n v="595"/>
    <x v="2"/>
    <x v="0"/>
    <x v="0"/>
    <x v="13"/>
    <x v="35"/>
    <x v="4"/>
    <x v="0"/>
    <x v="27"/>
    <x v="2"/>
    <x v="1"/>
    <x v="2"/>
    <x v="0"/>
    <x v="0"/>
    <x v="1"/>
    <x v="0"/>
    <x v="0"/>
    <x v="0"/>
  </r>
  <r>
    <n v="596"/>
    <x v="4"/>
    <x v="1"/>
    <x v="0"/>
    <x v="10"/>
    <x v="7"/>
    <x v="0"/>
    <x v="0"/>
    <x v="14"/>
    <x v="0"/>
    <x v="1"/>
    <x v="0"/>
    <x v="4"/>
    <x v="0"/>
    <x v="0"/>
    <x v="0"/>
    <x v="0"/>
    <x v="0"/>
  </r>
  <r>
    <n v="597"/>
    <x v="5"/>
    <x v="0"/>
    <x v="1"/>
    <x v="4"/>
    <x v="22"/>
    <x v="2"/>
    <x v="1"/>
    <x v="16"/>
    <x v="3"/>
    <x v="0"/>
    <x v="4"/>
    <x v="6"/>
    <x v="0"/>
    <x v="0"/>
    <x v="1"/>
    <x v="0"/>
    <x v="2"/>
  </r>
  <r>
    <n v="598"/>
    <x v="2"/>
    <x v="1"/>
    <x v="0"/>
    <x v="3"/>
    <x v="47"/>
    <x v="4"/>
    <x v="0"/>
    <x v="7"/>
    <x v="2"/>
    <x v="1"/>
    <x v="2"/>
    <x v="0"/>
    <x v="0"/>
    <x v="0"/>
    <x v="0"/>
    <x v="0"/>
    <x v="0"/>
  </r>
  <r>
    <n v="599"/>
    <x v="1"/>
    <x v="0"/>
    <x v="1"/>
    <x v="12"/>
    <x v="43"/>
    <x v="1"/>
    <x v="1"/>
    <x v="24"/>
    <x v="3"/>
    <x v="0"/>
    <x v="4"/>
    <x v="6"/>
    <x v="0"/>
    <x v="1"/>
    <x v="1"/>
    <x v="0"/>
    <x v="2"/>
  </r>
  <r>
    <n v="600"/>
    <x v="0"/>
    <x v="1"/>
    <x v="0"/>
    <x v="14"/>
    <x v="51"/>
    <x v="0"/>
    <x v="0"/>
    <x v="4"/>
    <x v="4"/>
    <x v="1"/>
    <x v="2"/>
    <x v="0"/>
    <x v="2"/>
    <x v="0"/>
    <x v="0"/>
    <x v="2"/>
    <x v="0"/>
  </r>
  <r>
    <n v="601"/>
    <x v="6"/>
    <x v="0"/>
    <x v="1"/>
    <x v="15"/>
    <x v="11"/>
    <x v="11"/>
    <x v="0"/>
    <x v="11"/>
    <x v="0"/>
    <x v="0"/>
    <x v="0"/>
    <x v="4"/>
    <x v="0"/>
    <x v="0"/>
    <x v="0"/>
    <x v="0"/>
    <x v="0"/>
  </r>
  <r>
    <n v="602"/>
    <x v="4"/>
    <x v="1"/>
    <x v="0"/>
    <x v="8"/>
    <x v="44"/>
    <x v="1"/>
    <x v="1"/>
    <x v="29"/>
    <x v="1"/>
    <x v="1"/>
    <x v="4"/>
    <x v="3"/>
    <x v="0"/>
    <x v="1"/>
    <x v="1"/>
    <x v="1"/>
    <x v="2"/>
  </r>
  <r>
    <n v="603"/>
    <x v="5"/>
    <x v="0"/>
    <x v="1"/>
    <x v="60"/>
    <x v="35"/>
    <x v="0"/>
    <x v="0"/>
    <x v="26"/>
    <x v="2"/>
    <x v="1"/>
    <x v="2"/>
    <x v="0"/>
    <x v="0"/>
    <x v="0"/>
    <x v="0"/>
    <x v="0"/>
    <x v="0"/>
  </r>
  <r>
    <n v="604"/>
    <x v="2"/>
    <x v="1"/>
    <x v="0"/>
    <x v="59"/>
    <x v="4"/>
    <x v="4"/>
    <x v="1"/>
    <x v="21"/>
    <x v="3"/>
    <x v="0"/>
    <x v="4"/>
    <x v="6"/>
    <x v="0"/>
    <x v="0"/>
    <x v="1"/>
    <x v="0"/>
    <x v="2"/>
  </r>
  <r>
    <n v="605"/>
    <x v="1"/>
    <x v="0"/>
    <x v="1"/>
    <x v="11"/>
    <x v="40"/>
    <x v="2"/>
    <x v="0"/>
    <x v="27"/>
    <x v="2"/>
    <x v="1"/>
    <x v="2"/>
    <x v="0"/>
    <x v="0"/>
    <x v="1"/>
    <x v="0"/>
    <x v="0"/>
    <x v="0"/>
  </r>
  <r>
    <n v="606"/>
    <x v="0"/>
    <x v="1"/>
    <x v="0"/>
    <x v="18"/>
    <x v="19"/>
    <x v="0"/>
    <x v="1"/>
    <x v="9"/>
    <x v="3"/>
    <x v="0"/>
    <x v="4"/>
    <x v="6"/>
    <x v="0"/>
    <x v="0"/>
    <x v="1"/>
    <x v="0"/>
    <x v="2"/>
  </r>
  <r>
    <n v="607"/>
    <x v="6"/>
    <x v="0"/>
    <x v="1"/>
    <x v="25"/>
    <x v="29"/>
    <x v="1"/>
    <x v="0"/>
    <x v="20"/>
    <x v="0"/>
    <x v="1"/>
    <x v="0"/>
    <x v="4"/>
    <x v="0"/>
    <x v="1"/>
    <x v="0"/>
    <x v="0"/>
    <x v="0"/>
  </r>
  <r>
    <n v="608"/>
    <x v="4"/>
    <x v="1"/>
    <x v="0"/>
    <x v="1"/>
    <x v="53"/>
    <x v="4"/>
    <x v="0"/>
    <x v="13"/>
    <x v="4"/>
    <x v="1"/>
    <x v="5"/>
    <x v="2"/>
    <x v="2"/>
    <x v="0"/>
    <x v="0"/>
    <x v="2"/>
    <x v="0"/>
  </r>
  <r>
    <n v="609"/>
    <x v="5"/>
    <x v="0"/>
    <x v="1"/>
    <x v="21"/>
    <x v="27"/>
    <x v="0"/>
    <x v="1"/>
    <x v="21"/>
    <x v="3"/>
    <x v="0"/>
    <x v="4"/>
    <x v="6"/>
    <x v="0"/>
    <x v="1"/>
    <x v="1"/>
    <x v="0"/>
    <x v="2"/>
  </r>
  <r>
    <n v="610"/>
    <x v="2"/>
    <x v="1"/>
    <x v="0"/>
    <x v="35"/>
    <x v="52"/>
    <x v="2"/>
    <x v="0"/>
    <x v="7"/>
    <x v="2"/>
    <x v="1"/>
    <x v="2"/>
    <x v="0"/>
    <x v="2"/>
    <x v="0"/>
    <x v="0"/>
    <x v="0"/>
    <x v="0"/>
  </r>
  <r>
    <n v="611"/>
    <x v="1"/>
    <x v="0"/>
    <x v="1"/>
    <x v="2"/>
    <x v="31"/>
    <x v="0"/>
    <x v="0"/>
    <x v="18"/>
    <x v="0"/>
    <x v="0"/>
    <x v="0"/>
    <x v="4"/>
    <x v="0"/>
    <x v="0"/>
    <x v="0"/>
    <x v="0"/>
    <x v="0"/>
  </r>
  <r>
    <n v="612"/>
    <x v="0"/>
    <x v="1"/>
    <x v="0"/>
    <x v="13"/>
    <x v="13"/>
    <x v="4"/>
    <x v="0"/>
    <x v="28"/>
    <x v="2"/>
    <x v="1"/>
    <x v="2"/>
    <x v="0"/>
    <x v="0"/>
    <x v="1"/>
    <x v="0"/>
    <x v="0"/>
    <x v="0"/>
  </r>
  <r>
    <n v="613"/>
    <x v="6"/>
    <x v="0"/>
    <x v="1"/>
    <x v="10"/>
    <x v="10"/>
    <x v="1"/>
    <x v="1"/>
    <x v="16"/>
    <x v="3"/>
    <x v="0"/>
    <x v="4"/>
    <x v="6"/>
    <x v="0"/>
    <x v="0"/>
    <x v="1"/>
    <x v="0"/>
    <x v="2"/>
  </r>
  <r>
    <n v="614"/>
    <x v="4"/>
    <x v="1"/>
    <x v="0"/>
    <x v="4"/>
    <x v="23"/>
    <x v="0"/>
    <x v="0"/>
    <x v="14"/>
    <x v="0"/>
    <x v="1"/>
    <x v="0"/>
    <x v="4"/>
    <x v="0"/>
    <x v="0"/>
    <x v="0"/>
    <x v="0"/>
    <x v="0"/>
  </r>
  <r>
    <n v="615"/>
    <x v="5"/>
    <x v="0"/>
    <x v="1"/>
    <x v="3"/>
    <x v="25"/>
    <x v="2"/>
    <x v="0"/>
    <x v="26"/>
    <x v="2"/>
    <x v="1"/>
    <x v="2"/>
    <x v="0"/>
    <x v="0"/>
    <x v="0"/>
    <x v="0"/>
    <x v="0"/>
    <x v="0"/>
  </r>
  <r>
    <n v="616"/>
    <x v="2"/>
    <x v="1"/>
    <x v="0"/>
    <x v="12"/>
    <x v="38"/>
    <x v="4"/>
    <x v="1"/>
    <x v="9"/>
    <x v="3"/>
    <x v="0"/>
    <x v="4"/>
    <x v="6"/>
    <x v="0"/>
    <x v="1"/>
    <x v="1"/>
    <x v="0"/>
    <x v="2"/>
  </r>
  <r>
    <n v="617"/>
    <x v="1"/>
    <x v="0"/>
    <x v="1"/>
    <x v="14"/>
    <x v="49"/>
    <x v="0"/>
    <x v="0"/>
    <x v="15"/>
    <x v="4"/>
    <x v="1"/>
    <x v="5"/>
    <x v="2"/>
    <x v="2"/>
    <x v="0"/>
    <x v="0"/>
    <x v="2"/>
    <x v="0"/>
  </r>
  <r>
    <n v="618"/>
    <x v="0"/>
    <x v="1"/>
    <x v="0"/>
    <x v="15"/>
    <x v="33"/>
    <x v="11"/>
    <x v="0"/>
    <x v="11"/>
    <x v="0"/>
    <x v="0"/>
    <x v="0"/>
    <x v="4"/>
    <x v="0"/>
    <x v="0"/>
    <x v="0"/>
    <x v="0"/>
    <x v="0"/>
  </r>
  <r>
    <n v="619"/>
    <x v="6"/>
    <x v="0"/>
    <x v="1"/>
    <x v="8"/>
    <x v="15"/>
    <x v="1"/>
    <x v="1"/>
    <x v="1"/>
    <x v="1"/>
    <x v="1"/>
    <x v="4"/>
    <x v="3"/>
    <x v="0"/>
    <x v="1"/>
    <x v="1"/>
    <x v="1"/>
    <x v="2"/>
  </r>
  <r>
    <n v="620"/>
    <x v="4"/>
    <x v="1"/>
    <x v="0"/>
    <x v="60"/>
    <x v="40"/>
    <x v="2"/>
    <x v="0"/>
    <x v="27"/>
    <x v="2"/>
    <x v="1"/>
    <x v="2"/>
    <x v="0"/>
    <x v="0"/>
    <x v="0"/>
    <x v="0"/>
    <x v="0"/>
    <x v="0"/>
  </r>
  <r>
    <n v="621"/>
    <x v="5"/>
    <x v="0"/>
    <x v="1"/>
    <x v="59"/>
    <x v="27"/>
    <x v="0"/>
    <x v="1"/>
    <x v="21"/>
    <x v="3"/>
    <x v="0"/>
    <x v="4"/>
    <x v="6"/>
    <x v="0"/>
    <x v="0"/>
    <x v="1"/>
    <x v="0"/>
    <x v="2"/>
  </r>
  <r>
    <n v="622"/>
    <x v="2"/>
    <x v="1"/>
    <x v="0"/>
    <x v="11"/>
    <x v="13"/>
    <x v="4"/>
    <x v="0"/>
    <x v="7"/>
    <x v="2"/>
    <x v="1"/>
    <x v="2"/>
    <x v="0"/>
    <x v="0"/>
    <x v="1"/>
    <x v="0"/>
    <x v="0"/>
    <x v="0"/>
  </r>
  <r>
    <n v="623"/>
    <x v="1"/>
    <x v="0"/>
    <x v="1"/>
    <x v="18"/>
    <x v="38"/>
    <x v="1"/>
    <x v="1"/>
    <x v="16"/>
    <x v="3"/>
    <x v="0"/>
    <x v="4"/>
    <x v="6"/>
    <x v="0"/>
    <x v="0"/>
    <x v="1"/>
    <x v="0"/>
    <x v="2"/>
  </r>
  <r>
    <n v="624"/>
    <x v="0"/>
    <x v="1"/>
    <x v="0"/>
    <x v="25"/>
    <x v="7"/>
    <x v="0"/>
    <x v="0"/>
    <x v="20"/>
    <x v="0"/>
    <x v="1"/>
    <x v="0"/>
    <x v="4"/>
    <x v="0"/>
    <x v="1"/>
    <x v="0"/>
    <x v="0"/>
    <x v="0"/>
  </r>
  <r>
    <n v="625"/>
    <x v="6"/>
    <x v="0"/>
    <x v="1"/>
    <x v="1"/>
    <x v="48"/>
    <x v="2"/>
    <x v="0"/>
    <x v="8"/>
    <x v="4"/>
    <x v="1"/>
    <x v="5"/>
    <x v="2"/>
    <x v="2"/>
    <x v="0"/>
    <x v="0"/>
    <x v="2"/>
    <x v="0"/>
  </r>
  <r>
    <n v="626"/>
    <x v="4"/>
    <x v="1"/>
    <x v="0"/>
    <x v="21"/>
    <x v="4"/>
    <x v="4"/>
    <x v="1"/>
    <x v="16"/>
    <x v="3"/>
    <x v="0"/>
    <x v="4"/>
    <x v="6"/>
    <x v="0"/>
    <x v="1"/>
    <x v="1"/>
    <x v="0"/>
    <x v="2"/>
  </r>
  <r>
    <n v="627"/>
    <x v="5"/>
    <x v="0"/>
    <x v="1"/>
    <x v="35"/>
    <x v="51"/>
    <x v="0"/>
    <x v="0"/>
    <x v="28"/>
    <x v="2"/>
    <x v="1"/>
    <x v="2"/>
    <x v="0"/>
    <x v="2"/>
    <x v="0"/>
    <x v="0"/>
    <x v="0"/>
    <x v="0"/>
  </r>
  <r>
    <n v="628"/>
    <x v="2"/>
    <x v="1"/>
    <x v="0"/>
    <x v="2"/>
    <x v="11"/>
    <x v="1"/>
    <x v="0"/>
    <x v="11"/>
    <x v="0"/>
    <x v="0"/>
    <x v="0"/>
    <x v="4"/>
    <x v="0"/>
    <x v="0"/>
    <x v="0"/>
    <x v="0"/>
    <x v="0"/>
  </r>
  <r>
    <n v="629"/>
    <x v="1"/>
    <x v="0"/>
    <x v="1"/>
    <x v="13"/>
    <x v="47"/>
    <x v="4"/>
    <x v="0"/>
    <x v="7"/>
    <x v="2"/>
    <x v="1"/>
    <x v="2"/>
    <x v="0"/>
    <x v="0"/>
    <x v="1"/>
    <x v="0"/>
    <x v="0"/>
    <x v="0"/>
  </r>
  <r>
    <n v="630"/>
    <x v="0"/>
    <x v="1"/>
    <x v="0"/>
    <x v="10"/>
    <x v="19"/>
    <x v="0"/>
    <x v="1"/>
    <x v="9"/>
    <x v="3"/>
    <x v="0"/>
    <x v="4"/>
    <x v="6"/>
    <x v="0"/>
    <x v="0"/>
    <x v="1"/>
    <x v="0"/>
    <x v="2"/>
  </r>
  <r>
    <n v="631"/>
    <x v="6"/>
    <x v="0"/>
    <x v="1"/>
    <x v="4"/>
    <x v="33"/>
    <x v="2"/>
    <x v="0"/>
    <x v="14"/>
    <x v="0"/>
    <x v="1"/>
    <x v="0"/>
    <x v="4"/>
    <x v="0"/>
    <x v="0"/>
    <x v="0"/>
    <x v="0"/>
    <x v="0"/>
  </r>
  <r>
    <n v="632"/>
    <x v="4"/>
    <x v="1"/>
    <x v="0"/>
    <x v="3"/>
    <x v="35"/>
    <x v="4"/>
    <x v="0"/>
    <x v="27"/>
    <x v="2"/>
    <x v="1"/>
    <x v="2"/>
    <x v="0"/>
    <x v="0"/>
    <x v="0"/>
    <x v="0"/>
    <x v="0"/>
    <x v="0"/>
  </r>
  <r>
    <n v="633"/>
    <x v="5"/>
    <x v="0"/>
    <x v="1"/>
    <x v="12"/>
    <x v="10"/>
    <x v="1"/>
    <x v="1"/>
    <x v="24"/>
    <x v="3"/>
    <x v="0"/>
    <x v="4"/>
    <x v="6"/>
    <x v="0"/>
    <x v="1"/>
    <x v="1"/>
    <x v="0"/>
    <x v="2"/>
  </r>
  <r>
    <n v="634"/>
    <x v="2"/>
    <x v="1"/>
    <x v="0"/>
    <x v="14"/>
    <x v="50"/>
    <x v="0"/>
    <x v="0"/>
    <x v="15"/>
    <x v="4"/>
    <x v="1"/>
    <x v="5"/>
    <x v="2"/>
    <x v="2"/>
    <x v="0"/>
    <x v="0"/>
    <x v="2"/>
    <x v="0"/>
  </r>
  <r>
    <n v="635"/>
    <x v="1"/>
    <x v="0"/>
    <x v="1"/>
    <x v="15"/>
    <x v="23"/>
    <x v="11"/>
    <x v="0"/>
    <x v="14"/>
    <x v="0"/>
    <x v="0"/>
    <x v="0"/>
    <x v="4"/>
    <x v="0"/>
    <x v="0"/>
    <x v="0"/>
    <x v="0"/>
    <x v="0"/>
  </r>
  <r>
    <n v="636"/>
    <x v="0"/>
    <x v="1"/>
    <x v="0"/>
    <x v="8"/>
    <x v="27"/>
    <x v="1"/>
    <x v="1"/>
    <x v="21"/>
    <x v="1"/>
    <x v="1"/>
    <x v="4"/>
    <x v="3"/>
    <x v="0"/>
    <x v="1"/>
    <x v="1"/>
    <x v="1"/>
    <x v="2"/>
  </r>
  <r>
    <n v="637"/>
    <x v="6"/>
    <x v="0"/>
    <x v="1"/>
    <x v="60"/>
    <x v="25"/>
    <x v="2"/>
    <x v="0"/>
    <x v="26"/>
    <x v="2"/>
    <x v="1"/>
    <x v="2"/>
    <x v="0"/>
    <x v="0"/>
    <x v="0"/>
    <x v="0"/>
    <x v="0"/>
    <x v="0"/>
  </r>
  <r>
    <n v="638"/>
    <x v="4"/>
    <x v="1"/>
    <x v="0"/>
    <x v="59"/>
    <x v="44"/>
    <x v="0"/>
    <x v="1"/>
    <x v="1"/>
    <x v="3"/>
    <x v="0"/>
    <x v="4"/>
    <x v="6"/>
    <x v="0"/>
    <x v="0"/>
    <x v="1"/>
    <x v="0"/>
    <x v="2"/>
  </r>
  <r>
    <n v="639"/>
    <x v="5"/>
    <x v="0"/>
    <x v="1"/>
    <x v="11"/>
    <x v="47"/>
    <x v="4"/>
    <x v="0"/>
    <x v="7"/>
    <x v="2"/>
    <x v="1"/>
    <x v="2"/>
    <x v="0"/>
    <x v="0"/>
    <x v="1"/>
    <x v="0"/>
    <x v="0"/>
    <x v="0"/>
  </r>
  <r>
    <n v="640"/>
    <x v="2"/>
    <x v="1"/>
    <x v="0"/>
    <x v="18"/>
    <x v="4"/>
    <x v="1"/>
    <x v="1"/>
    <x v="16"/>
    <x v="3"/>
    <x v="0"/>
    <x v="4"/>
    <x v="6"/>
    <x v="0"/>
    <x v="0"/>
    <x v="1"/>
    <x v="0"/>
    <x v="2"/>
  </r>
  <r>
    <n v="641"/>
    <x v="1"/>
    <x v="0"/>
    <x v="1"/>
    <x v="25"/>
    <x v="29"/>
    <x v="0"/>
    <x v="0"/>
    <x v="0"/>
    <x v="0"/>
    <x v="1"/>
    <x v="0"/>
    <x v="4"/>
    <x v="0"/>
    <x v="1"/>
    <x v="0"/>
    <x v="0"/>
    <x v="0"/>
  </r>
  <r>
    <n v="642"/>
    <x v="0"/>
    <x v="1"/>
    <x v="0"/>
    <x v="1"/>
    <x v="5"/>
    <x v="2"/>
    <x v="0"/>
    <x v="13"/>
    <x v="4"/>
    <x v="1"/>
    <x v="5"/>
    <x v="2"/>
    <x v="2"/>
    <x v="0"/>
    <x v="0"/>
    <x v="2"/>
    <x v="0"/>
  </r>
  <r>
    <n v="643"/>
    <x v="6"/>
    <x v="0"/>
    <x v="1"/>
    <x v="21"/>
    <x v="38"/>
    <x v="4"/>
    <x v="1"/>
    <x v="9"/>
    <x v="3"/>
    <x v="0"/>
    <x v="4"/>
    <x v="6"/>
    <x v="0"/>
    <x v="1"/>
    <x v="1"/>
    <x v="0"/>
    <x v="2"/>
  </r>
  <r>
    <n v="644"/>
    <x v="4"/>
    <x v="1"/>
    <x v="0"/>
    <x v="35"/>
    <x v="49"/>
    <x v="0"/>
    <x v="0"/>
    <x v="4"/>
    <x v="2"/>
    <x v="1"/>
    <x v="2"/>
    <x v="0"/>
    <x v="2"/>
    <x v="0"/>
    <x v="0"/>
    <x v="0"/>
    <x v="0"/>
  </r>
  <r>
    <n v="645"/>
    <x v="5"/>
    <x v="0"/>
    <x v="1"/>
    <x v="2"/>
    <x v="20"/>
    <x v="1"/>
    <x v="0"/>
    <x v="11"/>
    <x v="0"/>
    <x v="0"/>
    <x v="0"/>
    <x v="4"/>
    <x v="0"/>
    <x v="0"/>
    <x v="0"/>
    <x v="0"/>
    <x v="0"/>
  </r>
  <r>
    <n v="646"/>
    <x v="1"/>
    <x v="1"/>
    <x v="1"/>
    <x v="13"/>
    <x v="40"/>
    <x v="4"/>
    <x v="0"/>
    <x v="7"/>
    <x v="2"/>
    <x v="1"/>
    <x v="2"/>
    <x v="0"/>
    <x v="0"/>
    <x v="1"/>
    <x v="0"/>
    <x v="0"/>
    <x v="0"/>
  </r>
  <r>
    <n v="647"/>
    <x v="2"/>
    <x v="0"/>
    <x v="0"/>
    <x v="10"/>
    <x v="10"/>
    <x v="0"/>
    <x v="1"/>
    <x v="24"/>
    <x v="3"/>
    <x v="0"/>
    <x v="4"/>
    <x v="6"/>
    <x v="0"/>
    <x v="0"/>
    <x v="1"/>
    <x v="0"/>
    <x v="2"/>
  </r>
  <r>
    <n v="648"/>
    <x v="5"/>
    <x v="1"/>
    <x v="1"/>
    <x v="4"/>
    <x v="23"/>
    <x v="2"/>
    <x v="0"/>
    <x v="20"/>
    <x v="0"/>
    <x v="1"/>
    <x v="0"/>
    <x v="4"/>
    <x v="0"/>
    <x v="0"/>
    <x v="0"/>
    <x v="0"/>
    <x v="0"/>
  </r>
  <r>
    <n v="649"/>
    <x v="4"/>
    <x v="0"/>
    <x v="0"/>
    <x v="3"/>
    <x v="35"/>
    <x v="1"/>
    <x v="0"/>
    <x v="27"/>
    <x v="2"/>
    <x v="1"/>
    <x v="2"/>
    <x v="0"/>
    <x v="0"/>
    <x v="0"/>
    <x v="0"/>
    <x v="0"/>
    <x v="0"/>
  </r>
  <r>
    <n v="650"/>
    <x v="6"/>
    <x v="1"/>
    <x v="1"/>
    <x v="12"/>
    <x v="19"/>
    <x v="4"/>
    <x v="1"/>
    <x v="9"/>
    <x v="3"/>
    <x v="0"/>
    <x v="4"/>
    <x v="6"/>
    <x v="0"/>
    <x v="1"/>
    <x v="1"/>
    <x v="0"/>
    <x v="2"/>
  </r>
  <r>
    <n v="651"/>
    <x v="0"/>
    <x v="0"/>
    <x v="0"/>
    <x v="14"/>
    <x v="49"/>
    <x v="0"/>
    <x v="0"/>
    <x v="15"/>
    <x v="4"/>
    <x v="1"/>
    <x v="5"/>
    <x v="2"/>
    <x v="2"/>
    <x v="0"/>
    <x v="0"/>
    <x v="2"/>
    <x v="0"/>
  </r>
  <r>
    <n v="652"/>
    <x v="1"/>
    <x v="1"/>
    <x v="1"/>
    <x v="15"/>
    <x v="33"/>
    <x v="11"/>
    <x v="0"/>
    <x v="14"/>
    <x v="0"/>
    <x v="0"/>
    <x v="0"/>
    <x v="4"/>
    <x v="0"/>
    <x v="0"/>
    <x v="0"/>
    <x v="0"/>
    <x v="0"/>
  </r>
  <r>
    <n v="653"/>
    <x v="2"/>
    <x v="0"/>
    <x v="0"/>
    <x v="8"/>
    <x v="44"/>
    <x v="1"/>
    <x v="1"/>
    <x v="1"/>
    <x v="1"/>
    <x v="1"/>
    <x v="4"/>
    <x v="3"/>
    <x v="0"/>
    <x v="1"/>
    <x v="1"/>
    <x v="1"/>
    <x v="2"/>
  </r>
  <r>
    <n v="654"/>
    <x v="5"/>
    <x v="1"/>
    <x v="1"/>
    <x v="60"/>
    <x v="35"/>
    <x v="2"/>
    <x v="0"/>
    <x v="27"/>
    <x v="2"/>
    <x v="1"/>
    <x v="2"/>
    <x v="0"/>
    <x v="0"/>
    <x v="0"/>
    <x v="0"/>
    <x v="0"/>
    <x v="0"/>
  </r>
  <r>
    <n v="655"/>
    <x v="4"/>
    <x v="0"/>
    <x v="0"/>
    <x v="59"/>
    <x v="27"/>
    <x v="0"/>
    <x v="1"/>
    <x v="21"/>
    <x v="3"/>
    <x v="0"/>
    <x v="4"/>
    <x v="6"/>
    <x v="0"/>
    <x v="0"/>
    <x v="1"/>
    <x v="0"/>
    <x v="2"/>
  </r>
  <r>
    <n v="656"/>
    <x v="6"/>
    <x v="1"/>
    <x v="1"/>
    <x v="11"/>
    <x v="13"/>
    <x v="4"/>
    <x v="0"/>
    <x v="28"/>
    <x v="2"/>
    <x v="1"/>
    <x v="2"/>
    <x v="0"/>
    <x v="0"/>
    <x v="1"/>
    <x v="0"/>
    <x v="0"/>
    <x v="0"/>
  </r>
  <r>
    <n v="657"/>
    <x v="0"/>
    <x v="0"/>
    <x v="0"/>
    <x v="18"/>
    <x v="38"/>
    <x v="1"/>
    <x v="1"/>
    <x v="16"/>
    <x v="3"/>
    <x v="0"/>
    <x v="4"/>
    <x v="6"/>
    <x v="0"/>
    <x v="0"/>
    <x v="1"/>
    <x v="0"/>
    <x v="2"/>
  </r>
  <r>
    <n v="658"/>
    <x v="1"/>
    <x v="1"/>
    <x v="1"/>
    <x v="25"/>
    <x v="7"/>
    <x v="0"/>
    <x v="0"/>
    <x v="20"/>
    <x v="0"/>
    <x v="1"/>
    <x v="0"/>
    <x v="4"/>
    <x v="0"/>
    <x v="1"/>
    <x v="0"/>
    <x v="0"/>
    <x v="0"/>
  </r>
  <r>
    <n v="659"/>
    <x v="2"/>
    <x v="0"/>
    <x v="0"/>
    <x v="1"/>
    <x v="53"/>
    <x v="2"/>
    <x v="0"/>
    <x v="8"/>
    <x v="4"/>
    <x v="1"/>
    <x v="5"/>
    <x v="2"/>
    <x v="2"/>
    <x v="0"/>
    <x v="0"/>
    <x v="2"/>
    <x v="0"/>
  </r>
  <r>
    <n v="660"/>
    <x v="5"/>
    <x v="1"/>
    <x v="1"/>
    <x v="21"/>
    <x v="4"/>
    <x v="4"/>
    <x v="1"/>
    <x v="16"/>
    <x v="3"/>
    <x v="0"/>
    <x v="4"/>
    <x v="6"/>
    <x v="0"/>
    <x v="1"/>
    <x v="1"/>
    <x v="0"/>
    <x v="2"/>
  </r>
  <r>
    <n v="661"/>
    <x v="4"/>
    <x v="0"/>
    <x v="0"/>
    <x v="35"/>
    <x v="51"/>
    <x v="0"/>
    <x v="0"/>
    <x v="4"/>
    <x v="2"/>
    <x v="1"/>
    <x v="2"/>
    <x v="0"/>
    <x v="2"/>
    <x v="0"/>
    <x v="0"/>
    <x v="0"/>
    <x v="0"/>
  </r>
  <r>
    <n v="662"/>
    <x v="6"/>
    <x v="1"/>
    <x v="1"/>
    <x v="2"/>
    <x v="31"/>
    <x v="1"/>
    <x v="0"/>
    <x v="11"/>
    <x v="0"/>
    <x v="0"/>
    <x v="0"/>
    <x v="4"/>
    <x v="0"/>
    <x v="0"/>
    <x v="0"/>
    <x v="0"/>
    <x v="0"/>
  </r>
  <r>
    <n v="663"/>
    <x v="0"/>
    <x v="0"/>
    <x v="0"/>
    <x v="13"/>
    <x v="47"/>
    <x v="2"/>
    <x v="0"/>
    <x v="7"/>
    <x v="2"/>
    <x v="1"/>
    <x v="2"/>
    <x v="0"/>
    <x v="0"/>
    <x v="1"/>
    <x v="0"/>
    <x v="0"/>
    <x v="0"/>
  </r>
  <r>
    <n v="664"/>
    <x v="1"/>
    <x v="1"/>
    <x v="1"/>
    <x v="10"/>
    <x v="19"/>
    <x v="4"/>
    <x v="1"/>
    <x v="9"/>
    <x v="3"/>
    <x v="0"/>
    <x v="4"/>
    <x v="6"/>
    <x v="0"/>
    <x v="0"/>
    <x v="1"/>
    <x v="0"/>
    <x v="2"/>
  </r>
  <r>
    <n v="665"/>
    <x v="2"/>
    <x v="0"/>
    <x v="0"/>
    <x v="4"/>
    <x v="33"/>
    <x v="0"/>
    <x v="0"/>
    <x v="14"/>
    <x v="0"/>
    <x v="1"/>
    <x v="0"/>
    <x v="4"/>
    <x v="0"/>
    <x v="0"/>
    <x v="0"/>
    <x v="0"/>
    <x v="0"/>
  </r>
  <r>
    <n v="666"/>
    <x v="5"/>
    <x v="1"/>
    <x v="1"/>
    <x v="3"/>
    <x v="40"/>
    <x v="1"/>
    <x v="0"/>
    <x v="7"/>
    <x v="2"/>
    <x v="1"/>
    <x v="2"/>
    <x v="0"/>
    <x v="0"/>
    <x v="0"/>
    <x v="0"/>
    <x v="0"/>
    <x v="0"/>
  </r>
  <r>
    <n v="667"/>
    <x v="4"/>
    <x v="0"/>
    <x v="0"/>
    <x v="12"/>
    <x v="10"/>
    <x v="2"/>
    <x v="1"/>
    <x v="24"/>
    <x v="3"/>
    <x v="0"/>
    <x v="4"/>
    <x v="6"/>
    <x v="0"/>
    <x v="1"/>
    <x v="1"/>
    <x v="0"/>
    <x v="2"/>
  </r>
  <r>
    <n v="668"/>
    <x v="6"/>
    <x v="1"/>
    <x v="1"/>
    <x v="14"/>
    <x v="50"/>
    <x v="0"/>
    <x v="0"/>
    <x v="15"/>
    <x v="4"/>
    <x v="1"/>
    <x v="5"/>
    <x v="2"/>
    <x v="2"/>
    <x v="0"/>
    <x v="0"/>
    <x v="2"/>
    <x v="0"/>
  </r>
  <r>
    <n v="669"/>
    <x v="0"/>
    <x v="0"/>
    <x v="0"/>
    <x v="15"/>
    <x v="23"/>
    <x v="11"/>
    <x v="0"/>
    <x v="14"/>
    <x v="0"/>
    <x v="0"/>
    <x v="0"/>
    <x v="4"/>
    <x v="0"/>
    <x v="0"/>
    <x v="0"/>
    <x v="0"/>
    <x v="0"/>
  </r>
  <r>
    <n v="670"/>
    <x v="1"/>
    <x v="1"/>
    <x v="1"/>
    <x v="8"/>
    <x v="27"/>
    <x v="1"/>
    <x v="1"/>
    <x v="21"/>
    <x v="1"/>
    <x v="1"/>
    <x v="4"/>
    <x v="3"/>
    <x v="0"/>
    <x v="1"/>
    <x v="1"/>
    <x v="1"/>
    <x v="2"/>
  </r>
  <r>
    <n v="671"/>
    <x v="2"/>
    <x v="0"/>
    <x v="0"/>
    <x v="60"/>
    <x v="25"/>
    <x v="4"/>
    <x v="0"/>
    <x v="26"/>
    <x v="2"/>
    <x v="1"/>
    <x v="2"/>
    <x v="0"/>
    <x v="0"/>
    <x v="0"/>
    <x v="0"/>
    <x v="0"/>
    <x v="0"/>
  </r>
  <r>
    <n v="672"/>
    <x v="5"/>
    <x v="1"/>
    <x v="1"/>
    <x v="59"/>
    <x v="44"/>
    <x v="0"/>
    <x v="1"/>
    <x v="1"/>
    <x v="3"/>
    <x v="0"/>
    <x v="4"/>
    <x v="6"/>
    <x v="0"/>
    <x v="0"/>
    <x v="1"/>
    <x v="0"/>
    <x v="2"/>
  </r>
  <r>
    <n v="673"/>
    <x v="4"/>
    <x v="0"/>
    <x v="0"/>
    <x v="11"/>
    <x v="47"/>
    <x v="2"/>
    <x v="0"/>
    <x v="7"/>
    <x v="2"/>
    <x v="1"/>
    <x v="2"/>
    <x v="0"/>
    <x v="0"/>
    <x v="1"/>
    <x v="0"/>
    <x v="0"/>
    <x v="0"/>
  </r>
  <r>
    <n v="674"/>
    <x v="6"/>
    <x v="1"/>
    <x v="1"/>
    <x v="18"/>
    <x v="4"/>
    <x v="1"/>
    <x v="1"/>
    <x v="16"/>
    <x v="3"/>
    <x v="0"/>
    <x v="4"/>
    <x v="6"/>
    <x v="0"/>
    <x v="0"/>
    <x v="1"/>
    <x v="0"/>
    <x v="2"/>
  </r>
  <r>
    <n v="675"/>
    <x v="0"/>
    <x v="0"/>
    <x v="0"/>
    <x v="25"/>
    <x v="29"/>
    <x v="0"/>
    <x v="0"/>
    <x v="0"/>
    <x v="0"/>
    <x v="1"/>
    <x v="0"/>
    <x v="4"/>
    <x v="0"/>
    <x v="1"/>
    <x v="0"/>
    <x v="0"/>
    <x v="0"/>
  </r>
  <r>
    <n v="676"/>
    <x v="1"/>
    <x v="1"/>
    <x v="1"/>
    <x v="1"/>
    <x v="5"/>
    <x v="4"/>
    <x v="0"/>
    <x v="13"/>
    <x v="4"/>
    <x v="1"/>
    <x v="5"/>
    <x v="2"/>
    <x v="2"/>
    <x v="0"/>
    <x v="0"/>
    <x v="2"/>
    <x v="0"/>
  </r>
  <r>
    <n v="677"/>
    <x v="2"/>
    <x v="0"/>
    <x v="0"/>
    <x v="21"/>
    <x v="38"/>
    <x v="2"/>
    <x v="1"/>
    <x v="9"/>
    <x v="3"/>
    <x v="0"/>
    <x v="4"/>
    <x v="6"/>
    <x v="0"/>
    <x v="1"/>
    <x v="1"/>
    <x v="0"/>
    <x v="2"/>
  </r>
  <r>
    <n v="678"/>
    <x v="5"/>
    <x v="1"/>
    <x v="1"/>
    <x v="35"/>
    <x v="49"/>
    <x v="0"/>
    <x v="0"/>
    <x v="4"/>
    <x v="2"/>
    <x v="1"/>
    <x v="2"/>
    <x v="0"/>
    <x v="2"/>
    <x v="0"/>
    <x v="0"/>
    <x v="0"/>
    <x v="0"/>
  </r>
  <r>
    <n v="679"/>
    <x v="4"/>
    <x v="0"/>
    <x v="0"/>
    <x v="2"/>
    <x v="20"/>
    <x v="1"/>
    <x v="0"/>
    <x v="11"/>
    <x v="0"/>
    <x v="0"/>
    <x v="0"/>
    <x v="4"/>
    <x v="0"/>
    <x v="0"/>
    <x v="0"/>
    <x v="0"/>
    <x v="0"/>
  </r>
  <r>
    <n v="680"/>
    <x v="6"/>
    <x v="1"/>
    <x v="1"/>
    <x v="13"/>
    <x v="35"/>
    <x v="4"/>
    <x v="0"/>
    <x v="27"/>
    <x v="2"/>
    <x v="1"/>
    <x v="2"/>
    <x v="0"/>
    <x v="0"/>
    <x v="1"/>
    <x v="0"/>
    <x v="0"/>
    <x v="0"/>
  </r>
  <r>
    <n v="681"/>
    <x v="0"/>
    <x v="0"/>
    <x v="0"/>
    <x v="10"/>
    <x v="19"/>
    <x v="0"/>
    <x v="1"/>
    <x v="9"/>
    <x v="3"/>
    <x v="0"/>
    <x v="4"/>
    <x v="6"/>
    <x v="0"/>
    <x v="0"/>
    <x v="1"/>
    <x v="0"/>
    <x v="2"/>
  </r>
  <r>
    <n v="682"/>
    <x v="1"/>
    <x v="1"/>
    <x v="1"/>
    <x v="4"/>
    <x v="7"/>
    <x v="2"/>
    <x v="0"/>
    <x v="20"/>
    <x v="0"/>
    <x v="1"/>
    <x v="0"/>
    <x v="4"/>
    <x v="0"/>
    <x v="0"/>
    <x v="0"/>
    <x v="0"/>
    <x v="0"/>
  </r>
  <r>
    <n v="683"/>
    <x v="2"/>
    <x v="0"/>
    <x v="0"/>
    <x v="3"/>
    <x v="25"/>
    <x v="1"/>
    <x v="0"/>
    <x v="26"/>
    <x v="2"/>
    <x v="1"/>
    <x v="2"/>
    <x v="0"/>
    <x v="0"/>
    <x v="0"/>
    <x v="0"/>
    <x v="0"/>
    <x v="0"/>
  </r>
  <r>
    <n v="684"/>
    <x v="5"/>
    <x v="1"/>
    <x v="1"/>
    <x v="12"/>
    <x v="10"/>
    <x v="4"/>
    <x v="1"/>
    <x v="24"/>
    <x v="3"/>
    <x v="0"/>
    <x v="4"/>
    <x v="6"/>
    <x v="0"/>
    <x v="1"/>
    <x v="1"/>
    <x v="0"/>
    <x v="2"/>
  </r>
  <r>
    <n v="685"/>
    <x v="4"/>
    <x v="0"/>
    <x v="0"/>
    <x v="14"/>
    <x v="51"/>
    <x v="0"/>
    <x v="0"/>
    <x v="4"/>
    <x v="4"/>
    <x v="1"/>
    <x v="5"/>
    <x v="2"/>
    <x v="2"/>
    <x v="0"/>
    <x v="0"/>
    <x v="2"/>
    <x v="0"/>
  </r>
  <r>
    <n v="686"/>
    <x v="6"/>
    <x v="1"/>
    <x v="1"/>
    <x v="15"/>
    <x v="11"/>
    <x v="11"/>
    <x v="0"/>
    <x v="11"/>
    <x v="0"/>
    <x v="0"/>
    <x v="0"/>
    <x v="4"/>
    <x v="0"/>
    <x v="0"/>
    <x v="0"/>
    <x v="0"/>
    <x v="0"/>
  </r>
  <r>
    <n v="687"/>
    <x v="0"/>
    <x v="0"/>
    <x v="0"/>
    <x v="8"/>
    <x v="15"/>
    <x v="1"/>
    <x v="1"/>
    <x v="1"/>
    <x v="1"/>
    <x v="1"/>
    <x v="4"/>
    <x v="3"/>
    <x v="0"/>
    <x v="1"/>
    <x v="1"/>
    <x v="1"/>
    <x v="2"/>
  </r>
  <r>
    <n v="688"/>
    <x v="1"/>
    <x v="1"/>
    <x v="1"/>
    <x v="60"/>
    <x v="40"/>
    <x v="2"/>
    <x v="0"/>
    <x v="7"/>
    <x v="2"/>
    <x v="1"/>
    <x v="2"/>
    <x v="0"/>
    <x v="0"/>
    <x v="0"/>
    <x v="0"/>
    <x v="0"/>
    <x v="0"/>
  </r>
  <r>
    <n v="689"/>
    <x v="2"/>
    <x v="0"/>
    <x v="0"/>
    <x v="59"/>
    <x v="27"/>
    <x v="0"/>
    <x v="1"/>
    <x v="21"/>
    <x v="3"/>
    <x v="0"/>
    <x v="4"/>
    <x v="6"/>
    <x v="0"/>
    <x v="0"/>
    <x v="1"/>
    <x v="0"/>
    <x v="2"/>
  </r>
  <r>
    <n v="690"/>
    <x v="5"/>
    <x v="1"/>
    <x v="1"/>
    <x v="11"/>
    <x v="13"/>
    <x v="4"/>
    <x v="0"/>
    <x v="28"/>
    <x v="2"/>
    <x v="1"/>
    <x v="2"/>
    <x v="0"/>
    <x v="0"/>
    <x v="1"/>
    <x v="0"/>
    <x v="0"/>
    <x v="0"/>
  </r>
  <r>
    <n v="691"/>
    <x v="4"/>
    <x v="0"/>
    <x v="0"/>
    <x v="18"/>
    <x v="38"/>
    <x v="1"/>
    <x v="1"/>
    <x v="16"/>
    <x v="3"/>
    <x v="0"/>
    <x v="4"/>
    <x v="6"/>
    <x v="0"/>
    <x v="0"/>
    <x v="1"/>
    <x v="0"/>
    <x v="2"/>
  </r>
  <r>
    <n v="692"/>
    <x v="6"/>
    <x v="1"/>
    <x v="1"/>
    <x v="25"/>
    <x v="29"/>
    <x v="0"/>
    <x v="0"/>
    <x v="0"/>
    <x v="0"/>
    <x v="1"/>
    <x v="0"/>
    <x v="4"/>
    <x v="0"/>
    <x v="1"/>
    <x v="0"/>
    <x v="0"/>
    <x v="0"/>
  </r>
  <r>
    <n v="693"/>
    <x v="0"/>
    <x v="0"/>
    <x v="0"/>
    <x v="1"/>
    <x v="48"/>
    <x v="2"/>
    <x v="0"/>
    <x v="8"/>
    <x v="4"/>
    <x v="1"/>
    <x v="5"/>
    <x v="2"/>
    <x v="2"/>
    <x v="1"/>
    <x v="0"/>
    <x v="2"/>
    <x v="0"/>
  </r>
  <r>
    <n v="694"/>
    <x v="1"/>
    <x v="1"/>
    <x v="1"/>
    <x v="21"/>
    <x v="4"/>
    <x v="4"/>
    <x v="1"/>
    <x v="16"/>
    <x v="3"/>
    <x v="0"/>
    <x v="4"/>
    <x v="6"/>
    <x v="0"/>
    <x v="1"/>
    <x v="1"/>
    <x v="0"/>
    <x v="2"/>
  </r>
  <r>
    <n v="695"/>
    <x v="2"/>
    <x v="0"/>
    <x v="0"/>
    <x v="35"/>
    <x v="52"/>
    <x v="0"/>
    <x v="0"/>
    <x v="28"/>
    <x v="2"/>
    <x v="1"/>
    <x v="2"/>
    <x v="0"/>
    <x v="2"/>
    <x v="1"/>
    <x v="0"/>
    <x v="0"/>
    <x v="0"/>
  </r>
  <r>
    <n v="696"/>
    <x v="5"/>
    <x v="1"/>
    <x v="1"/>
    <x v="2"/>
    <x v="11"/>
    <x v="1"/>
    <x v="0"/>
    <x v="14"/>
    <x v="0"/>
    <x v="0"/>
    <x v="0"/>
    <x v="4"/>
    <x v="0"/>
    <x v="1"/>
    <x v="0"/>
    <x v="0"/>
    <x v="0"/>
  </r>
  <r>
    <n v="697"/>
    <x v="4"/>
    <x v="0"/>
    <x v="0"/>
    <x v="13"/>
    <x v="40"/>
    <x v="2"/>
    <x v="0"/>
    <x v="7"/>
    <x v="2"/>
    <x v="1"/>
    <x v="2"/>
    <x v="0"/>
    <x v="0"/>
    <x v="1"/>
    <x v="0"/>
    <x v="0"/>
    <x v="0"/>
  </r>
  <r>
    <n v="698"/>
    <x v="6"/>
    <x v="1"/>
    <x v="1"/>
    <x v="10"/>
    <x v="10"/>
    <x v="4"/>
    <x v="1"/>
    <x v="24"/>
    <x v="3"/>
    <x v="0"/>
    <x v="4"/>
    <x v="6"/>
    <x v="0"/>
    <x v="1"/>
    <x v="1"/>
    <x v="0"/>
    <x v="2"/>
  </r>
  <r>
    <n v="699"/>
    <x v="0"/>
    <x v="0"/>
    <x v="0"/>
    <x v="4"/>
    <x v="23"/>
    <x v="0"/>
    <x v="0"/>
    <x v="20"/>
    <x v="0"/>
    <x v="1"/>
    <x v="0"/>
    <x v="4"/>
    <x v="0"/>
    <x v="1"/>
    <x v="0"/>
    <x v="0"/>
    <x v="0"/>
  </r>
  <r>
    <n v="700"/>
    <x v="1"/>
    <x v="1"/>
    <x v="1"/>
    <x v="3"/>
    <x v="35"/>
    <x v="1"/>
    <x v="0"/>
    <x v="27"/>
    <x v="2"/>
    <x v="1"/>
    <x v="2"/>
    <x v="0"/>
    <x v="0"/>
    <x v="1"/>
    <x v="0"/>
    <x v="0"/>
    <x v="0"/>
  </r>
  <r>
    <n v="701"/>
    <x v="2"/>
    <x v="0"/>
    <x v="0"/>
    <x v="12"/>
    <x v="19"/>
    <x v="2"/>
    <x v="1"/>
    <x v="9"/>
    <x v="3"/>
    <x v="0"/>
    <x v="4"/>
    <x v="6"/>
    <x v="0"/>
    <x v="1"/>
    <x v="1"/>
    <x v="0"/>
    <x v="2"/>
  </r>
  <r>
    <n v="702"/>
    <x v="5"/>
    <x v="1"/>
    <x v="1"/>
    <x v="14"/>
    <x v="49"/>
    <x v="0"/>
    <x v="0"/>
    <x v="15"/>
    <x v="4"/>
    <x v="1"/>
    <x v="5"/>
    <x v="2"/>
    <x v="2"/>
    <x v="1"/>
    <x v="0"/>
    <x v="2"/>
    <x v="0"/>
  </r>
  <r>
    <n v="703"/>
    <x v="4"/>
    <x v="0"/>
    <x v="0"/>
    <x v="15"/>
    <x v="33"/>
    <x v="11"/>
    <x v="0"/>
    <x v="14"/>
    <x v="0"/>
    <x v="0"/>
    <x v="0"/>
    <x v="4"/>
    <x v="0"/>
    <x v="1"/>
    <x v="0"/>
    <x v="0"/>
    <x v="0"/>
  </r>
  <r>
    <n v="704"/>
    <x v="6"/>
    <x v="1"/>
    <x v="1"/>
    <x v="8"/>
    <x v="44"/>
    <x v="1"/>
    <x v="1"/>
    <x v="1"/>
    <x v="1"/>
    <x v="1"/>
    <x v="4"/>
    <x v="3"/>
    <x v="0"/>
    <x v="1"/>
    <x v="1"/>
    <x v="1"/>
    <x v="2"/>
  </r>
  <r>
    <n v="705"/>
    <x v="0"/>
    <x v="0"/>
    <x v="0"/>
    <x v="60"/>
    <x v="35"/>
    <x v="4"/>
    <x v="0"/>
    <x v="27"/>
    <x v="2"/>
    <x v="1"/>
    <x v="2"/>
    <x v="0"/>
    <x v="0"/>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92F137-DE53-4A40-9022-B944B266DFF2}" name="Question 1c"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O2:P5" firstHeaderRow="1" firstDataRow="1" firstDataCol="1"/>
  <pivotFields count="14">
    <pivotField dataField="1"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Count of Stud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A88A8-9C5E-4BC6-9321-9672002BB9D1}" name="Question 1d"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S2:U13" firstHeaderRow="1" firstDataRow="2" firstDataCol="1"/>
  <pivotFields count="18">
    <pivotField dataField="1" showAll="0"/>
    <pivotField showAll="0"/>
    <pivotField axis="axisCol" showAll="0">
      <items count="3">
        <item x="0"/>
        <item x="1"/>
        <item t="default"/>
      </items>
    </pivotField>
    <pivotField showAll="0">
      <items count="4">
        <item x="1"/>
        <item x="2"/>
        <item x="0"/>
        <item t="default"/>
      </items>
    </pivotField>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0">
    <i>
      <x v="18"/>
    </i>
    <i>
      <x v="26"/>
    </i>
    <i>
      <x v="31"/>
    </i>
    <i>
      <x v="39"/>
    </i>
    <i>
      <x v="42"/>
    </i>
    <i>
      <x v="61"/>
    </i>
    <i>
      <x v="90"/>
    </i>
    <i>
      <x v="93"/>
    </i>
    <i>
      <x v="99"/>
    </i>
    <i>
      <x v="104"/>
    </i>
  </rowItems>
  <colFields count="1">
    <field x="2"/>
  </colFields>
  <colItems count="2">
    <i>
      <x/>
    </i>
    <i>
      <x v="1"/>
    </i>
  </colItems>
  <dataFields count="1">
    <dataField name="Count of Student_ID" fld="0" subtotal="count" baseField="4" baseItem="18"/>
  </dataFields>
  <chartFormats count="1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0" format="38" series="1">
      <pivotArea type="data" outline="0" fieldPosition="0">
        <references count="2">
          <reference field="4294967294" count="1" selected="0">
            <x v="0"/>
          </reference>
          <reference field="4" count="1" selected="0">
            <x v="38"/>
          </reference>
        </references>
      </pivotArea>
    </chartFormat>
    <chartFormat chart="0" format="39" series="1">
      <pivotArea type="data" outline="0" fieldPosition="0">
        <references count="2">
          <reference field="4294967294" count="1" selected="0">
            <x v="0"/>
          </reference>
          <reference field="4" count="1" selected="0">
            <x v="39"/>
          </reference>
        </references>
      </pivotArea>
    </chartFormat>
    <chartFormat chart="0" format="40" series="1">
      <pivotArea type="data" outline="0" fieldPosition="0">
        <references count="2">
          <reference field="4294967294" count="1" selected="0">
            <x v="0"/>
          </reference>
          <reference field="4" count="1" selected="0">
            <x v="40"/>
          </reference>
        </references>
      </pivotArea>
    </chartFormat>
    <chartFormat chart="0" format="41" series="1">
      <pivotArea type="data" outline="0" fieldPosition="0">
        <references count="2">
          <reference field="4294967294" count="1" selected="0">
            <x v="0"/>
          </reference>
          <reference field="4" count="1" selected="0">
            <x v="41"/>
          </reference>
        </references>
      </pivotArea>
    </chartFormat>
    <chartFormat chart="0" format="42" series="1">
      <pivotArea type="data" outline="0" fieldPosition="0">
        <references count="2">
          <reference field="4294967294" count="1" selected="0">
            <x v="0"/>
          </reference>
          <reference field="4" count="1" selected="0">
            <x v="42"/>
          </reference>
        </references>
      </pivotArea>
    </chartFormat>
    <chartFormat chart="0" format="43" series="1">
      <pivotArea type="data" outline="0" fieldPosition="0">
        <references count="2">
          <reference field="4294967294" count="1" selected="0">
            <x v="0"/>
          </reference>
          <reference field="4" count="1" selected="0">
            <x v="43"/>
          </reference>
        </references>
      </pivotArea>
    </chartFormat>
    <chartFormat chart="0" format="44" series="1">
      <pivotArea type="data" outline="0" fieldPosition="0">
        <references count="2">
          <reference field="4294967294" count="1" selected="0">
            <x v="0"/>
          </reference>
          <reference field="4" count="1" selected="0">
            <x v="44"/>
          </reference>
        </references>
      </pivotArea>
    </chartFormat>
    <chartFormat chart="0" format="45" series="1">
      <pivotArea type="data" outline="0" fieldPosition="0">
        <references count="2">
          <reference field="4294967294" count="1" selected="0">
            <x v="0"/>
          </reference>
          <reference field="4" count="1" selected="0">
            <x v="45"/>
          </reference>
        </references>
      </pivotArea>
    </chartFormat>
    <chartFormat chart="0" format="46" series="1">
      <pivotArea type="data" outline="0" fieldPosition="0">
        <references count="2">
          <reference field="4294967294" count="1" selected="0">
            <x v="0"/>
          </reference>
          <reference field="4" count="1" selected="0">
            <x v="46"/>
          </reference>
        </references>
      </pivotArea>
    </chartFormat>
    <chartFormat chart="0" format="47" series="1">
      <pivotArea type="data" outline="0" fieldPosition="0">
        <references count="2">
          <reference field="4294967294" count="1" selected="0">
            <x v="0"/>
          </reference>
          <reference field="4" count="1" selected="0">
            <x v="47"/>
          </reference>
        </references>
      </pivotArea>
    </chartFormat>
    <chartFormat chart="0" format="48" series="1">
      <pivotArea type="data" outline="0" fieldPosition="0">
        <references count="2">
          <reference field="4294967294" count="1" selected="0">
            <x v="0"/>
          </reference>
          <reference field="4" count="1" selected="0">
            <x v="48"/>
          </reference>
        </references>
      </pivotArea>
    </chartFormat>
    <chartFormat chart="0" format="49" series="1">
      <pivotArea type="data" outline="0" fieldPosition="0">
        <references count="2">
          <reference field="4294967294" count="1" selected="0">
            <x v="0"/>
          </reference>
          <reference field="4" count="1" selected="0">
            <x v="49"/>
          </reference>
        </references>
      </pivotArea>
    </chartFormat>
    <chartFormat chart="0" format="50" series="1">
      <pivotArea type="data" outline="0" fieldPosition="0">
        <references count="2">
          <reference field="4294967294" count="1" selected="0">
            <x v="0"/>
          </reference>
          <reference field="4" count="1" selected="0">
            <x v="50"/>
          </reference>
        </references>
      </pivotArea>
    </chartFormat>
    <chartFormat chart="0" format="51" series="1">
      <pivotArea type="data" outline="0" fieldPosition="0">
        <references count="2">
          <reference field="4294967294" count="1" selected="0">
            <x v="0"/>
          </reference>
          <reference field="4" count="1" selected="0">
            <x v="51"/>
          </reference>
        </references>
      </pivotArea>
    </chartFormat>
    <chartFormat chart="0" format="52" series="1">
      <pivotArea type="data" outline="0" fieldPosition="0">
        <references count="2">
          <reference field="4294967294" count="1" selected="0">
            <x v="0"/>
          </reference>
          <reference field="4" count="1" selected="0">
            <x v="52"/>
          </reference>
        </references>
      </pivotArea>
    </chartFormat>
    <chartFormat chart="0" format="53" series="1">
      <pivotArea type="data" outline="0" fieldPosition="0">
        <references count="2">
          <reference field="4294967294" count="1" selected="0">
            <x v="0"/>
          </reference>
          <reference field="4" count="1" selected="0">
            <x v="53"/>
          </reference>
        </references>
      </pivotArea>
    </chartFormat>
    <chartFormat chart="0" format="54" series="1">
      <pivotArea type="data" outline="0" fieldPosition="0">
        <references count="2">
          <reference field="4294967294" count="1" selected="0">
            <x v="0"/>
          </reference>
          <reference field="4" count="1" selected="0">
            <x v="54"/>
          </reference>
        </references>
      </pivotArea>
    </chartFormat>
    <chartFormat chart="0" format="55" series="1">
      <pivotArea type="data" outline="0" fieldPosition="0">
        <references count="2">
          <reference field="4294967294" count="1" selected="0">
            <x v="0"/>
          </reference>
          <reference field="4" count="1" selected="0">
            <x v="55"/>
          </reference>
        </references>
      </pivotArea>
    </chartFormat>
    <chartFormat chart="0" format="56" series="1">
      <pivotArea type="data" outline="0" fieldPosition="0">
        <references count="2">
          <reference field="4294967294" count="1" selected="0">
            <x v="0"/>
          </reference>
          <reference field="4" count="1" selected="0">
            <x v="56"/>
          </reference>
        </references>
      </pivotArea>
    </chartFormat>
    <chartFormat chart="0" format="57" series="1">
      <pivotArea type="data" outline="0" fieldPosition="0">
        <references count="2">
          <reference field="4294967294" count="1" selected="0">
            <x v="0"/>
          </reference>
          <reference field="4" count="1" selected="0">
            <x v="57"/>
          </reference>
        </references>
      </pivotArea>
    </chartFormat>
    <chartFormat chart="0" format="58" series="1">
      <pivotArea type="data" outline="0" fieldPosition="0">
        <references count="2">
          <reference field="4294967294" count="1" selected="0">
            <x v="0"/>
          </reference>
          <reference field="4" count="1" selected="0">
            <x v="58"/>
          </reference>
        </references>
      </pivotArea>
    </chartFormat>
    <chartFormat chart="0" format="59" series="1">
      <pivotArea type="data" outline="0" fieldPosition="0">
        <references count="2">
          <reference field="4294967294" count="1" selected="0">
            <x v="0"/>
          </reference>
          <reference field="4" count="1" selected="0">
            <x v="59"/>
          </reference>
        </references>
      </pivotArea>
    </chartFormat>
    <chartFormat chart="0" format="60" series="1">
      <pivotArea type="data" outline="0" fieldPosition="0">
        <references count="2">
          <reference field="4294967294" count="1" selected="0">
            <x v="0"/>
          </reference>
          <reference field="4" count="1" selected="0">
            <x v="60"/>
          </reference>
        </references>
      </pivotArea>
    </chartFormat>
    <chartFormat chart="0" format="61" series="1">
      <pivotArea type="data" outline="0" fieldPosition="0">
        <references count="2">
          <reference field="4294967294" count="1" selected="0">
            <x v="0"/>
          </reference>
          <reference field="4" count="1" selected="0">
            <x v="61"/>
          </reference>
        </references>
      </pivotArea>
    </chartFormat>
    <chartFormat chart="0" format="62" series="1">
      <pivotArea type="data" outline="0" fieldPosition="0">
        <references count="2">
          <reference field="4294967294" count="1" selected="0">
            <x v="0"/>
          </reference>
          <reference field="4" count="1" selected="0">
            <x v="62"/>
          </reference>
        </references>
      </pivotArea>
    </chartFormat>
    <chartFormat chart="0" format="63" series="1">
      <pivotArea type="data" outline="0" fieldPosition="0">
        <references count="2">
          <reference field="4294967294" count="1" selected="0">
            <x v="0"/>
          </reference>
          <reference field="4" count="1" selected="0">
            <x v="63"/>
          </reference>
        </references>
      </pivotArea>
    </chartFormat>
    <chartFormat chart="0" format="64" series="1">
      <pivotArea type="data" outline="0" fieldPosition="0">
        <references count="2">
          <reference field="4294967294" count="1" selected="0">
            <x v="0"/>
          </reference>
          <reference field="4" count="1" selected="0">
            <x v="64"/>
          </reference>
        </references>
      </pivotArea>
    </chartFormat>
    <chartFormat chart="0" format="65" series="1">
      <pivotArea type="data" outline="0" fieldPosition="0">
        <references count="2">
          <reference field="4294967294" count="1" selected="0">
            <x v="0"/>
          </reference>
          <reference field="4" count="1" selected="0">
            <x v="65"/>
          </reference>
        </references>
      </pivotArea>
    </chartFormat>
    <chartFormat chart="0" format="66" series="1">
      <pivotArea type="data" outline="0" fieldPosition="0">
        <references count="2">
          <reference field="4294967294" count="1" selected="0">
            <x v="0"/>
          </reference>
          <reference field="4" count="1" selected="0">
            <x v="66"/>
          </reference>
        </references>
      </pivotArea>
    </chartFormat>
    <chartFormat chart="0" format="67" series="1">
      <pivotArea type="data" outline="0" fieldPosition="0">
        <references count="2">
          <reference field="4294967294" count="1" selected="0">
            <x v="0"/>
          </reference>
          <reference field="4" count="1" selected="0">
            <x v="67"/>
          </reference>
        </references>
      </pivotArea>
    </chartFormat>
    <chartFormat chart="0" format="68" series="1">
      <pivotArea type="data" outline="0" fieldPosition="0">
        <references count="2">
          <reference field="4294967294" count="1" selected="0">
            <x v="0"/>
          </reference>
          <reference field="4" count="1" selected="0">
            <x v="68"/>
          </reference>
        </references>
      </pivotArea>
    </chartFormat>
    <chartFormat chart="0" format="69" series="1">
      <pivotArea type="data" outline="0" fieldPosition="0">
        <references count="2">
          <reference field="4294967294" count="1" selected="0">
            <x v="0"/>
          </reference>
          <reference field="4" count="1" selected="0">
            <x v="69"/>
          </reference>
        </references>
      </pivotArea>
    </chartFormat>
    <chartFormat chart="0" format="70" series="1">
      <pivotArea type="data" outline="0" fieldPosition="0">
        <references count="2">
          <reference field="4294967294" count="1" selected="0">
            <x v="0"/>
          </reference>
          <reference field="4" count="1" selected="0">
            <x v="70"/>
          </reference>
        </references>
      </pivotArea>
    </chartFormat>
    <chartFormat chart="0" format="71" series="1">
      <pivotArea type="data" outline="0" fieldPosition="0">
        <references count="2">
          <reference field="4294967294" count="1" selected="0">
            <x v="0"/>
          </reference>
          <reference field="4" count="1" selected="0">
            <x v="71"/>
          </reference>
        </references>
      </pivotArea>
    </chartFormat>
    <chartFormat chart="0" format="72" series="1">
      <pivotArea type="data" outline="0" fieldPosition="0">
        <references count="2">
          <reference field="4294967294" count="1" selected="0">
            <x v="0"/>
          </reference>
          <reference field="4" count="1" selected="0">
            <x v="72"/>
          </reference>
        </references>
      </pivotArea>
    </chartFormat>
    <chartFormat chart="0" format="73" series="1">
      <pivotArea type="data" outline="0" fieldPosition="0">
        <references count="2">
          <reference field="4294967294" count="1" selected="0">
            <x v="0"/>
          </reference>
          <reference field="4" count="1" selected="0">
            <x v="73"/>
          </reference>
        </references>
      </pivotArea>
    </chartFormat>
    <chartFormat chart="0" format="74" series="1">
      <pivotArea type="data" outline="0" fieldPosition="0">
        <references count="2">
          <reference field="4294967294" count="1" selected="0">
            <x v="0"/>
          </reference>
          <reference field="4" count="1" selected="0">
            <x v="74"/>
          </reference>
        </references>
      </pivotArea>
    </chartFormat>
    <chartFormat chart="0" format="75" series="1">
      <pivotArea type="data" outline="0" fieldPosition="0">
        <references count="2">
          <reference field="4294967294" count="1" selected="0">
            <x v="0"/>
          </reference>
          <reference field="4" count="1" selected="0">
            <x v="75"/>
          </reference>
        </references>
      </pivotArea>
    </chartFormat>
    <chartFormat chart="0" format="76" series="1">
      <pivotArea type="data" outline="0" fieldPosition="0">
        <references count="2">
          <reference field="4294967294" count="1" selected="0">
            <x v="0"/>
          </reference>
          <reference field="4" count="1" selected="0">
            <x v="76"/>
          </reference>
        </references>
      </pivotArea>
    </chartFormat>
    <chartFormat chart="0" format="77" series="1">
      <pivotArea type="data" outline="0" fieldPosition="0">
        <references count="2">
          <reference field="4294967294" count="1" selected="0">
            <x v="0"/>
          </reference>
          <reference field="4" count="1" selected="0">
            <x v="77"/>
          </reference>
        </references>
      </pivotArea>
    </chartFormat>
    <chartFormat chart="0" format="78" series="1">
      <pivotArea type="data" outline="0" fieldPosition="0">
        <references count="2">
          <reference field="4294967294" count="1" selected="0">
            <x v="0"/>
          </reference>
          <reference field="4" count="1" selected="0">
            <x v="78"/>
          </reference>
        </references>
      </pivotArea>
    </chartFormat>
    <chartFormat chart="0" format="79" series="1">
      <pivotArea type="data" outline="0" fieldPosition="0">
        <references count="2">
          <reference field="4294967294" count="1" selected="0">
            <x v="0"/>
          </reference>
          <reference field="4" count="1" selected="0">
            <x v="79"/>
          </reference>
        </references>
      </pivotArea>
    </chartFormat>
    <chartFormat chart="0" format="80" series="1">
      <pivotArea type="data" outline="0" fieldPosition="0">
        <references count="2">
          <reference field="4294967294" count="1" selected="0">
            <x v="0"/>
          </reference>
          <reference field="4" count="1" selected="0">
            <x v="80"/>
          </reference>
        </references>
      </pivotArea>
    </chartFormat>
    <chartFormat chart="0" format="81" series="1">
      <pivotArea type="data" outline="0" fieldPosition="0">
        <references count="2">
          <reference field="4294967294" count="1" selected="0">
            <x v="0"/>
          </reference>
          <reference field="4" count="1" selected="0">
            <x v="81"/>
          </reference>
        </references>
      </pivotArea>
    </chartFormat>
    <chartFormat chart="0" format="82" series="1">
      <pivotArea type="data" outline="0" fieldPosition="0">
        <references count="2">
          <reference field="4294967294" count="1" selected="0">
            <x v="0"/>
          </reference>
          <reference field="4" count="1" selected="0">
            <x v="82"/>
          </reference>
        </references>
      </pivotArea>
    </chartFormat>
    <chartFormat chart="0" format="83" series="1">
      <pivotArea type="data" outline="0" fieldPosition="0">
        <references count="2">
          <reference field="4294967294" count="1" selected="0">
            <x v="0"/>
          </reference>
          <reference field="4" count="1" selected="0">
            <x v="83"/>
          </reference>
        </references>
      </pivotArea>
    </chartFormat>
    <chartFormat chart="0" format="84" series="1">
      <pivotArea type="data" outline="0" fieldPosition="0">
        <references count="2">
          <reference field="4294967294" count="1" selected="0">
            <x v="0"/>
          </reference>
          <reference field="4" count="1" selected="0">
            <x v="84"/>
          </reference>
        </references>
      </pivotArea>
    </chartFormat>
    <chartFormat chart="0" format="85" series="1">
      <pivotArea type="data" outline="0" fieldPosition="0">
        <references count="2">
          <reference field="4294967294" count="1" selected="0">
            <x v="0"/>
          </reference>
          <reference field="4" count="1" selected="0">
            <x v="85"/>
          </reference>
        </references>
      </pivotArea>
    </chartFormat>
    <chartFormat chart="0" format="86" series="1">
      <pivotArea type="data" outline="0" fieldPosition="0">
        <references count="2">
          <reference field="4294967294" count="1" selected="0">
            <x v="0"/>
          </reference>
          <reference field="4" count="1" selected="0">
            <x v="86"/>
          </reference>
        </references>
      </pivotArea>
    </chartFormat>
    <chartFormat chart="0" format="87" series="1">
      <pivotArea type="data" outline="0" fieldPosition="0">
        <references count="2">
          <reference field="4294967294" count="1" selected="0">
            <x v="0"/>
          </reference>
          <reference field="4" count="1" selected="0">
            <x v="87"/>
          </reference>
        </references>
      </pivotArea>
    </chartFormat>
    <chartFormat chart="0" format="88" series="1">
      <pivotArea type="data" outline="0" fieldPosition="0">
        <references count="2">
          <reference field="4294967294" count="1" selected="0">
            <x v="0"/>
          </reference>
          <reference field="4" count="1" selected="0">
            <x v="88"/>
          </reference>
        </references>
      </pivotArea>
    </chartFormat>
    <chartFormat chart="0" format="89" series="1">
      <pivotArea type="data" outline="0" fieldPosition="0">
        <references count="2">
          <reference field="4294967294" count="1" selected="0">
            <x v="0"/>
          </reference>
          <reference field="4" count="1" selected="0">
            <x v="89"/>
          </reference>
        </references>
      </pivotArea>
    </chartFormat>
    <chartFormat chart="0" format="90" series="1">
      <pivotArea type="data" outline="0" fieldPosition="0">
        <references count="2">
          <reference field="4294967294" count="1" selected="0">
            <x v="0"/>
          </reference>
          <reference field="4" count="1" selected="0">
            <x v="90"/>
          </reference>
        </references>
      </pivotArea>
    </chartFormat>
    <chartFormat chart="0" format="91" series="1">
      <pivotArea type="data" outline="0" fieldPosition="0">
        <references count="2">
          <reference field="4294967294" count="1" selected="0">
            <x v="0"/>
          </reference>
          <reference field="4" count="1" selected="0">
            <x v="91"/>
          </reference>
        </references>
      </pivotArea>
    </chartFormat>
    <chartFormat chart="0" format="92" series="1">
      <pivotArea type="data" outline="0" fieldPosition="0">
        <references count="2">
          <reference field="4294967294" count="1" selected="0">
            <x v="0"/>
          </reference>
          <reference field="4" count="1" selected="0">
            <x v="92"/>
          </reference>
        </references>
      </pivotArea>
    </chartFormat>
    <chartFormat chart="0" format="93" series="1">
      <pivotArea type="data" outline="0" fieldPosition="0">
        <references count="2">
          <reference field="4294967294" count="1" selected="0">
            <x v="0"/>
          </reference>
          <reference field="4" count="1" selected="0">
            <x v="93"/>
          </reference>
        </references>
      </pivotArea>
    </chartFormat>
    <chartFormat chart="0" format="94" series="1">
      <pivotArea type="data" outline="0" fieldPosition="0">
        <references count="2">
          <reference field="4294967294" count="1" selected="0">
            <x v="0"/>
          </reference>
          <reference field="4" count="1" selected="0">
            <x v="94"/>
          </reference>
        </references>
      </pivotArea>
    </chartFormat>
    <chartFormat chart="0" format="95" series="1">
      <pivotArea type="data" outline="0" fieldPosition="0">
        <references count="2">
          <reference field="4294967294" count="1" selected="0">
            <x v="0"/>
          </reference>
          <reference field="4" count="1" selected="0">
            <x v="95"/>
          </reference>
        </references>
      </pivotArea>
    </chartFormat>
    <chartFormat chart="0" format="96" series="1">
      <pivotArea type="data" outline="0" fieldPosition="0">
        <references count="2">
          <reference field="4294967294" count="1" selected="0">
            <x v="0"/>
          </reference>
          <reference field="4" count="1" selected="0">
            <x v="96"/>
          </reference>
        </references>
      </pivotArea>
    </chartFormat>
    <chartFormat chart="0" format="97" series="1">
      <pivotArea type="data" outline="0" fieldPosition="0">
        <references count="2">
          <reference field="4294967294" count="1" selected="0">
            <x v="0"/>
          </reference>
          <reference field="4" count="1" selected="0">
            <x v="97"/>
          </reference>
        </references>
      </pivotArea>
    </chartFormat>
    <chartFormat chart="0" format="98" series="1">
      <pivotArea type="data" outline="0" fieldPosition="0">
        <references count="2">
          <reference field="4294967294" count="1" selected="0">
            <x v="0"/>
          </reference>
          <reference field="4" count="1" selected="0">
            <x v="98"/>
          </reference>
        </references>
      </pivotArea>
    </chartFormat>
    <chartFormat chart="0" format="99" series="1">
      <pivotArea type="data" outline="0" fieldPosition="0">
        <references count="2">
          <reference field="4294967294" count="1" selected="0">
            <x v="0"/>
          </reference>
          <reference field="4" count="1" selected="0">
            <x v="99"/>
          </reference>
        </references>
      </pivotArea>
    </chartFormat>
    <chartFormat chart="0" format="100" series="1">
      <pivotArea type="data" outline="0" fieldPosition="0">
        <references count="2">
          <reference field="4294967294" count="1" selected="0">
            <x v="0"/>
          </reference>
          <reference field="4" count="1" selected="0">
            <x v="100"/>
          </reference>
        </references>
      </pivotArea>
    </chartFormat>
    <chartFormat chart="0" format="101" series="1">
      <pivotArea type="data" outline="0" fieldPosition="0">
        <references count="2">
          <reference field="4294967294" count="1" selected="0">
            <x v="0"/>
          </reference>
          <reference field="4" count="1" selected="0">
            <x v="101"/>
          </reference>
        </references>
      </pivotArea>
    </chartFormat>
    <chartFormat chart="0" format="102" series="1">
      <pivotArea type="data" outline="0" fieldPosition="0">
        <references count="2">
          <reference field="4294967294" count="1" selected="0">
            <x v="0"/>
          </reference>
          <reference field="4" count="1" selected="0">
            <x v="102"/>
          </reference>
        </references>
      </pivotArea>
    </chartFormat>
    <chartFormat chart="0" format="103" series="1">
      <pivotArea type="data" outline="0" fieldPosition="0">
        <references count="2">
          <reference field="4294967294" count="1" selected="0">
            <x v="0"/>
          </reference>
          <reference field="4" count="1" selected="0">
            <x v="103"/>
          </reference>
        </references>
      </pivotArea>
    </chartFormat>
    <chartFormat chart="0" format="104" series="1">
      <pivotArea type="data" outline="0" fieldPosition="0">
        <references count="2">
          <reference field="4294967294" count="1" selected="0">
            <x v="0"/>
          </reference>
          <reference field="4" count="1" selected="0">
            <x v="104"/>
          </reference>
        </references>
      </pivotArea>
    </chartFormat>
    <chartFormat chart="0" format="105" series="1">
      <pivotArea type="data" outline="0" fieldPosition="0">
        <references count="2">
          <reference field="4294967294" count="1" selected="0">
            <x v="0"/>
          </reference>
          <reference field="4" count="1" selected="0">
            <x v="105"/>
          </reference>
        </references>
      </pivotArea>
    </chartFormat>
    <chartFormat chart="0" format="106" series="1">
      <pivotArea type="data" outline="0" fieldPosition="0">
        <references count="2">
          <reference field="4294967294" count="1" selected="0">
            <x v="0"/>
          </reference>
          <reference field="4" count="1" selected="0">
            <x v="106"/>
          </reference>
        </references>
      </pivotArea>
    </chartFormat>
    <chartFormat chart="0" format="107" series="1">
      <pivotArea type="data" outline="0" fieldPosition="0">
        <references count="2">
          <reference field="4294967294" count="1" selected="0">
            <x v="0"/>
          </reference>
          <reference field="4" count="1" selected="0">
            <x v="107"/>
          </reference>
        </references>
      </pivotArea>
    </chartFormat>
    <chartFormat chart="0" format="108" series="1">
      <pivotArea type="data" outline="0" fieldPosition="0">
        <references count="2">
          <reference field="4294967294" count="1" selected="0">
            <x v="0"/>
          </reference>
          <reference field="4" count="1" selected="0">
            <x v="108"/>
          </reference>
        </references>
      </pivotArea>
    </chartFormat>
    <chartFormat chart="0" format="109" series="1">
      <pivotArea type="data" outline="0" fieldPosition="0">
        <references count="2">
          <reference field="4294967294" count="1" selected="0">
            <x v="0"/>
          </reference>
          <reference field="4" count="1" selected="0">
            <x v="109"/>
          </reference>
        </references>
      </pivotArea>
    </chartFormat>
    <chartFormat chart="11" format="119" series="1">
      <pivotArea type="data" outline="0" fieldPosition="0">
        <references count="1">
          <reference field="4294967294" count="1" selected="0">
            <x v="0"/>
          </reference>
        </references>
      </pivotArea>
    </chartFormat>
    <chartFormat chart="11" format="120" series="1">
      <pivotArea type="data" outline="0" fieldPosition="0">
        <references count="2">
          <reference field="4294967294" count="1" selected="0">
            <x v="0"/>
          </reference>
          <reference field="2" count="1" selected="0">
            <x v="1"/>
          </reference>
        </references>
      </pivotArea>
    </chartFormat>
    <chartFormat chart="11" format="121" series="1">
      <pivotArea type="data" outline="0" fieldPosition="0">
        <references count="2">
          <reference field="4294967294" count="1" selected="0">
            <x v="0"/>
          </reference>
          <reference field="2" count="1" selected="0">
            <x v="0"/>
          </reference>
        </references>
      </pivotArea>
    </chartFormat>
    <chartFormat chart="0" format="113" series="1">
      <pivotArea type="data" outline="0" fieldPosition="0">
        <references count="2">
          <reference field="4294967294" count="1" selected="0">
            <x v="0"/>
          </reference>
          <reference field="2" count="1" selected="0">
            <x v="1"/>
          </reference>
        </references>
      </pivotArea>
    </chartFormat>
    <chartFormat chart="0" format="114"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3AD7E8-9028-45E5-916D-2481F15C8E26}" name="Question 1b"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K1:M7" firstHeaderRow="1" firstDataRow="2" firstDataCol="1"/>
  <pivotFields count="13">
    <pivotField dataField="1" showAll="0"/>
    <pivotField showAll="0"/>
    <pivotField axis="axisCol" showAll="0">
      <items count="3">
        <item x="0"/>
        <item x="1"/>
        <item t="default"/>
      </items>
    </pivotField>
    <pivotField showAll="0">
      <items count="4">
        <item x="1"/>
        <item h="1" x="2"/>
        <item h="1" x="0"/>
        <item t="default"/>
      </items>
    </pivotField>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pivotField showAll="0"/>
    <pivotField showAll="0"/>
    <pivotField showAll="0"/>
    <pivotField showAll="0"/>
  </pivotFields>
  <rowFields count="1">
    <field x="4"/>
  </rowFields>
  <rowItems count="5">
    <i>
      <x v="18"/>
    </i>
    <i>
      <x v="26"/>
    </i>
    <i>
      <x v="39"/>
    </i>
    <i>
      <x v="61"/>
    </i>
    <i>
      <x v="99"/>
    </i>
  </rowItems>
  <colFields count="1">
    <field x="2"/>
  </colFields>
  <colItems count="2">
    <i>
      <x/>
    </i>
    <i>
      <x v="1"/>
    </i>
  </colItems>
  <dataFields count="1">
    <dataField name="Count of Student_ID" fld="0" subtotal="count" baseField="4" baseItem="0"/>
  </dataFields>
  <chartFormats count="6">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68E886-0C97-4D59-B3EB-409DBD7DDC49}" name="Question 1a"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location ref="A1:E7" firstHeaderRow="1" firstDataRow="2" firstDataCol="1"/>
  <pivotFields count="13">
    <pivotField dataField="1" showAll="0"/>
    <pivotField axis="axisCol" showAll="0">
      <items count="8">
        <item x="3"/>
        <item x="0"/>
        <item x="2"/>
        <item x="4"/>
        <item x="1"/>
        <item x="5"/>
        <item x="6"/>
        <item t="default"/>
      </items>
    </pivotField>
    <pivotField showAll="0"/>
    <pivotField showAll="0">
      <items count="4">
        <item x="1"/>
        <item h="1" x="2"/>
        <item h="1" x="0"/>
        <item t="default"/>
      </items>
    </pivotField>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pivotField showAll="0"/>
    <pivotField showAll="0"/>
    <pivotField showAll="0"/>
    <pivotField showAll="0"/>
  </pivotFields>
  <rowFields count="1">
    <field x="4"/>
  </rowFields>
  <rowItems count="5">
    <i>
      <x v="18"/>
    </i>
    <i>
      <x v="26"/>
    </i>
    <i>
      <x v="39"/>
    </i>
    <i>
      <x v="61"/>
    </i>
    <i>
      <x v="99"/>
    </i>
  </rowItems>
  <colFields count="1">
    <field x="1"/>
  </colFields>
  <colItems count="4">
    <i>
      <x v="3"/>
    </i>
    <i>
      <x v="4"/>
    </i>
    <i>
      <x v="5"/>
    </i>
    <i>
      <x v="6"/>
    </i>
  </colItems>
  <dataFields count="1">
    <dataField name="Count of Student_ID" fld="0" subtotal="count" baseField="4" baseItem="0"/>
  </dataFields>
  <chartFormats count="25">
    <chartFormat chart="9" format="26" series="1">
      <pivotArea type="data" outline="0" fieldPosition="0">
        <references count="2">
          <reference field="4294967294" count="1" selected="0">
            <x v="0"/>
          </reference>
          <reference field="1" count="1" selected="0">
            <x v="3"/>
          </reference>
        </references>
      </pivotArea>
    </chartFormat>
    <chartFormat chart="9" format="27" series="1">
      <pivotArea type="data" outline="0" fieldPosition="0">
        <references count="2">
          <reference field="4294967294" count="1" selected="0">
            <x v="0"/>
          </reference>
          <reference field="1" count="1" selected="0">
            <x v="4"/>
          </reference>
        </references>
      </pivotArea>
    </chartFormat>
    <chartFormat chart="9" format="28" series="1">
      <pivotArea type="data" outline="0" fieldPosition="0">
        <references count="2">
          <reference field="4294967294" count="1" selected="0">
            <x v="0"/>
          </reference>
          <reference field="1" count="1" selected="0">
            <x v="5"/>
          </reference>
        </references>
      </pivotArea>
    </chartFormat>
    <chartFormat chart="9" format="29" series="1">
      <pivotArea type="data" outline="0" fieldPosition="0">
        <references count="2">
          <reference field="4294967294" count="1" selected="0">
            <x v="0"/>
          </reference>
          <reference field="1" count="1" selected="0">
            <x v="6"/>
          </reference>
        </references>
      </pivotArea>
    </chartFormat>
    <chartFormat chart="0" format="34" series="1">
      <pivotArea type="data" outline="0" fieldPosition="0">
        <references count="2">
          <reference field="4294967294" count="1" selected="0">
            <x v="0"/>
          </reference>
          <reference field="1" count="1" selected="0">
            <x v="3"/>
          </reference>
        </references>
      </pivotArea>
    </chartFormat>
    <chartFormat chart="0" format="35" series="1">
      <pivotArea type="data" outline="0" fieldPosition="0">
        <references count="2">
          <reference field="4294967294" count="1" selected="0">
            <x v="0"/>
          </reference>
          <reference field="1" count="1" selected="0">
            <x v="4"/>
          </reference>
        </references>
      </pivotArea>
    </chartFormat>
    <chartFormat chart="0" format="36" series="1">
      <pivotArea type="data" outline="0" fieldPosition="0">
        <references count="2">
          <reference field="4294967294" count="1" selected="0">
            <x v="0"/>
          </reference>
          <reference field="1" count="1" selected="0">
            <x v="5"/>
          </reference>
        </references>
      </pivotArea>
    </chartFormat>
    <chartFormat chart="0" format="37" series="1">
      <pivotArea type="data" outline="0" fieldPosition="0">
        <references count="2">
          <reference field="4294967294" count="1" selected="0">
            <x v="0"/>
          </reference>
          <reference field="1" count="1" selected="0">
            <x v="6"/>
          </reference>
        </references>
      </pivotArea>
    </chartFormat>
    <chartFormat chart="0" format="38" series="1">
      <pivotArea type="data" outline="0" fieldPosition="0">
        <references count="2">
          <reference field="4294967294" count="1" selected="0">
            <x v="0"/>
          </reference>
          <reference field="1" count="1" selected="0">
            <x v="1"/>
          </reference>
        </references>
      </pivotArea>
    </chartFormat>
    <chartFormat chart="0" format="39" series="1">
      <pivotArea type="data" outline="0" fieldPosition="0">
        <references count="2">
          <reference field="4294967294" count="1" selected="0">
            <x v="0"/>
          </reference>
          <reference field="1" count="1" selected="0">
            <x v="2"/>
          </reference>
        </references>
      </pivotArea>
    </chartFormat>
    <chartFormat chart="0" format="40" series="1">
      <pivotArea type="data" outline="0" fieldPosition="0">
        <references count="2">
          <reference field="4294967294" count="1" selected="0">
            <x v="0"/>
          </reference>
          <reference field="1" count="1" selected="0">
            <x v="0"/>
          </reference>
        </references>
      </pivotArea>
    </chartFormat>
    <chartFormat chart="23" format="45" series="1">
      <pivotArea type="data" outline="0" fieldPosition="0">
        <references count="2">
          <reference field="4294967294" count="1" selected="0">
            <x v="0"/>
          </reference>
          <reference field="1" count="1" selected="0">
            <x v="3"/>
          </reference>
        </references>
      </pivotArea>
    </chartFormat>
    <chartFormat chart="23" format="46" series="1">
      <pivotArea type="data" outline="0" fieldPosition="0">
        <references count="2">
          <reference field="4294967294" count="1" selected="0">
            <x v="0"/>
          </reference>
          <reference field="1" count="1" selected="0">
            <x v="4"/>
          </reference>
        </references>
      </pivotArea>
    </chartFormat>
    <chartFormat chart="23" format="47" series="1">
      <pivotArea type="data" outline="0" fieldPosition="0">
        <references count="2">
          <reference field="4294967294" count="1" selected="0">
            <x v="0"/>
          </reference>
          <reference field="1" count="1" selected="0">
            <x v="5"/>
          </reference>
        </references>
      </pivotArea>
    </chartFormat>
    <chartFormat chart="23" format="48" series="1">
      <pivotArea type="data" outline="0" fieldPosition="0">
        <references count="2">
          <reference field="4294967294" count="1" selected="0">
            <x v="0"/>
          </reference>
          <reference field="1" count="1" selected="0">
            <x v="6"/>
          </reference>
        </references>
      </pivotArea>
    </chartFormat>
    <chartFormat chart="23" format="49" series="1">
      <pivotArea type="data" outline="0" fieldPosition="0">
        <references count="2">
          <reference field="4294967294" count="1" selected="0">
            <x v="0"/>
          </reference>
          <reference field="4" count="1" selected="0">
            <x v="99"/>
          </reference>
        </references>
      </pivotArea>
    </chartFormat>
    <chartFormat chart="23" format="50" series="1">
      <pivotArea type="data" outline="0" fieldPosition="0">
        <references count="2">
          <reference field="4294967294" count="1" selected="0">
            <x v="0"/>
          </reference>
          <reference field="4" count="1" selected="0">
            <x v="18"/>
          </reference>
        </references>
      </pivotArea>
    </chartFormat>
    <chartFormat chart="23" format="51" series="1">
      <pivotArea type="data" outline="0" fieldPosition="0">
        <references count="2">
          <reference field="4294967294" count="1" selected="0">
            <x v="0"/>
          </reference>
          <reference field="4" count="1" selected="0">
            <x v="26"/>
          </reference>
        </references>
      </pivotArea>
    </chartFormat>
    <chartFormat chart="23" format="52" series="1">
      <pivotArea type="data" outline="0" fieldPosition="0">
        <references count="2">
          <reference field="4294967294" count="1" selected="0">
            <x v="0"/>
          </reference>
          <reference field="4" count="1" selected="0">
            <x v="39"/>
          </reference>
        </references>
      </pivotArea>
    </chartFormat>
    <chartFormat chart="23" format="53" series="1">
      <pivotArea type="data" outline="0" fieldPosition="0">
        <references count="2">
          <reference field="4294967294" count="1" selected="0">
            <x v="0"/>
          </reference>
          <reference field="4" count="1" selected="0">
            <x v="61"/>
          </reference>
        </references>
      </pivotArea>
    </chartFormat>
    <chartFormat chart="0" format="41" series="1">
      <pivotArea type="data" outline="0" fieldPosition="0">
        <references count="2">
          <reference field="4294967294" count="1" selected="0">
            <x v="0"/>
          </reference>
          <reference field="4" count="1" selected="0">
            <x v="99"/>
          </reference>
        </references>
      </pivotArea>
    </chartFormat>
    <chartFormat chart="0" format="42" series="1">
      <pivotArea type="data" outline="0" fieldPosition="0">
        <references count="2">
          <reference field="4294967294" count="1" selected="0">
            <x v="0"/>
          </reference>
          <reference field="4" count="1" selected="0">
            <x v="18"/>
          </reference>
        </references>
      </pivotArea>
    </chartFormat>
    <chartFormat chart="0" format="43" series="1">
      <pivotArea type="data" outline="0" fieldPosition="0">
        <references count="2">
          <reference field="4294967294" count="1" selected="0">
            <x v="0"/>
          </reference>
          <reference field="4" count="1" selected="0">
            <x v="26"/>
          </reference>
        </references>
      </pivotArea>
    </chartFormat>
    <chartFormat chart="0" format="44" series="1">
      <pivotArea type="data" outline="0" fieldPosition="0">
        <references count="2">
          <reference field="4294967294" count="1" selected="0">
            <x v="0"/>
          </reference>
          <reference field="4" count="1" selected="0">
            <x v="39"/>
          </reference>
        </references>
      </pivotArea>
    </chartFormat>
    <chartFormat chart="0" format="45" series="1">
      <pivotArea type="data" outline="0" fieldPosition="0">
        <references count="2">
          <reference field="4294967294" count="1" selected="0">
            <x v="0"/>
          </reference>
          <reference field="4" count="1" selected="0">
            <x v="61"/>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742953-BAD1-421E-B7E7-14958E5E982F}" name="Question 2a"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B7" firstHeaderRow="1" firstDataRow="1" firstDataCol="1"/>
  <pivotFields count="18">
    <pivotField dataField="1" showAll="0"/>
    <pivotField showAll="0"/>
    <pivotField showAll="0">
      <items count="3">
        <item x="0"/>
        <item x="1"/>
        <item t="default"/>
      </items>
    </pivotField>
    <pivotField showAll="0">
      <items count="4">
        <item x="1"/>
        <item x="2"/>
        <item x="0"/>
        <item t="default"/>
      </items>
    </pivotField>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s>
  <rowFields count="1">
    <field x="6"/>
  </rowFields>
  <rowItems count="6">
    <i>
      <x/>
    </i>
    <i>
      <x v="1"/>
    </i>
    <i>
      <x v="4"/>
    </i>
    <i>
      <x v="5"/>
    </i>
    <i>
      <x v="6"/>
    </i>
    <i>
      <x v="11"/>
    </i>
  </rowItems>
  <colItems count="1">
    <i/>
  </colItems>
  <dataFields count="1">
    <dataField name="Count of Stu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09DC4A-C519-49C8-8A90-3DB375112ABE}" name="Question 2b"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3:G10" firstHeaderRow="1" firstDataRow="1" firstDataCol="1"/>
  <pivotFields count="18">
    <pivotField showAll="0"/>
    <pivotField axis="axisRow" showAll="0">
      <items count="8">
        <item x="3"/>
        <item x="0"/>
        <item x="2"/>
        <item x="4"/>
        <item x="1"/>
        <item x="5"/>
        <item x="6"/>
        <item t="default"/>
      </items>
    </pivotField>
    <pivotField showAll="0">
      <items count="3">
        <item x="0"/>
        <item x="1"/>
        <item t="default"/>
      </items>
    </pivotField>
    <pivotField showAll="0">
      <items count="4">
        <item x="1"/>
        <item x="2"/>
        <item x="0"/>
        <item t="default"/>
      </items>
    </pivotField>
    <pivotField showAll="0"/>
    <pivotField dataField="1"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name="Addicted" showAll="0">
      <items count="4">
        <item x="0"/>
        <item x="1"/>
        <item x="2"/>
        <item t="default"/>
      </items>
    </pivotField>
  </pivotFields>
  <rowFields count="1">
    <field x="1"/>
  </rowFields>
  <rowItems count="7">
    <i>
      <x/>
    </i>
    <i>
      <x v="1"/>
    </i>
    <i>
      <x v="2"/>
    </i>
    <i>
      <x v="3"/>
    </i>
    <i>
      <x v="4"/>
    </i>
    <i>
      <x v="5"/>
    </i>
    <i>
      <x v="6"/>
    </i>
  </rowItems>
  <colItems count="1">
    <i/>
  </colItems>
  <dataFields count="1">
    <dataField name="Average of Avg_Daily_Usage_Hours" fld="5" subtotal="average" baseField="1"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FA5FD8-750A-46F9-AC79-E13E5E1F005F}" name="Question 2c"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I2:K9" firstHeaderRow="1" firstDataRow="2" firstDataCol="1"/>
  <pivotFields count="18">
    <pivotField showAll="0"/>
    <pivotField showAll="0"/>
    <pivotField axis="axisCol" dataField="1" showAll="0">
      <items count="3">
        <item x="0"/>
        <item x="1"/>
        <item t="default"/>
      </items>
    </pivotField>
    <pivotField showAll="0">
      <items count="4">
        <item x="1"/>
        <item x="2"/>
        <item x="0"/>
        <item t="default"/>
      </items>
    </pivotField>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s>
  <rowFields count="1">
    <field x="6"/>
  </rowFields>
  <rowItems count="6">
    <i>
      <x/>
    </i>
    <i>
      <x v="1"/>
    </i>
    <i>
      <x v="4"/>
    </i>
    <i>
      <x v="5"/>
    </i>
    <i>
      <x v="6"/>
    </i>
    <i>
      <x v="11"/>
    </i>
  </rowItems>
  <colFields count="1">
    <field x="2"/>
  </colFields>
  <colItems count="2">
    <i>
      <x/>
    </i>
    <i>
      <x v="1"/>
    </i>
  </colItems>
  <dataFields count="1">
    <dataField name="Count of Gender" fld="2"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B7909-269E-4ED0-922A-CDC03903E298}" name="Question 3c"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L2:M7" firstHeaderRow="1" firstDataRow="1" firstDataCol="1"/>
  <pivotFields count="18">
    <pivotField showAll="0"/>
    <pivotField showAll="0"/>
    <pivotField showAll="0"/>
    <pivotField dataField="1" showAll="0">
      <items count="4">
        <item x="1"/>
        <item x="2"/>
        <item x="0"/>
        <item t="default"/>
      </items>
    </pivotField>
    <pivotField showAll="0"/>
    <pivotField axis="axisRow" showAll="0" measureFilter="1">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 showAll="0"/>
    <pivotField showAll="0"/>
    <pivotField showAll="0"/>
    <pivotField showAll="0"/>
    <pivotField name="Addicted" showAll="0">
      <items count="4">
        <item x="0"/>
        <item x="1"/>
        <item x="2"/>
        <item t="default"/>
      </items>
    </pivotField>
  </pivotFields>
  <rowFields count="1">
    <field x="5"/>
  </rowFields>
  <rowItems count="5">
    <i>
      <x v="25"/>
    </i>
    <i>
      <x v="26"/>
    </i>
    <i>
      <x v="27"/>
    </i>
    <i>
      <x v="28"/>
    </i>
    <i>
      <x v="29"/>
    </i>
  </rowItems>
  <colItems count="1">
    <i/>
  </colItems>
  <dataFields count="1">
    <dataField name="Count of Academic_Level"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352DAA-CA7D-4F71-9BC6-3876DB81833F}" name="Question 3b"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1:I5" firstHeaderRow="1" firstDataRow="2" firstDataCol="1"/>
  <pivotFields count="18">
    <pivotField showAll="0"/>
    <pivotField showAll="0"/>
    <pivotField showAll="0">
      <items count="3">
        <item x="0"/>
        <item x="1"/>
        <item t="default"/>
      </items>
    </pivotField>
    <pivotField axis="axisRow" showAll="0">
      <items count="4">
        <item x="1"/>
        <item x="2"/>
        <item x="0"/>
        <item t="default"/>
      </items>
    </pivotField>
    <pivotField showAll="0"/>
    <pivotField showAll="0"/>
    <pivotField showAll="0">
      <items count="13">
        <item x="4"/>
        <item x="0"/>
        <item x="8"/>
        <item x="7"/>
        <item x="5"/>
        <item x="6"/>
        <item x="2"/>
        <item x="1"/>
        <item x="9"/>
        <item x="11"/>
        <item x="10"/>
        <item x="3"/>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Fields count="1">
    <field x="7"/>
  </colFields>
  <colItems count="2">
    <i>
      <x/>
    </i>
    <i>
      <x v="1"/>
    </i>
  </colItems>
  <dataFields count="1">
    <dataField name="Count of Affects_Academic_Performance" fld="7"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2766C1-EFCE-4B32-A2C3-918246F2CA81}" name="Question 3a"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C7" firstHeaderRow="1" firstDataRow="2" firstDataCol="1"/>
  <pivotFields count="18">
    <pivotField showAll="0"/>
    <pivotField showAll="0"/>
    <pivotField showAll="0"/>
    <pivotField showAll="0">
      <items count="4">
        <item x="1"/>
        <item x="2"/>
        <item x="0"/>
        <item t="default"/>
      </items>
    </pivotField>
    <pivotField showAll="0"/>
    <pivotField axis="axisRow" showAll="0" measureFilter="1">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5">
    <i>
      <x v="25"/>
    </i>
    <i>
      <x v="26"/>
    </i>
    <i>
      <x v="27"/>
    </i>
    <i>
      <x v="28"/>
    </i>
    <i>
      <x v="29"/>
    </i>
  </rowItems>
  <colFields count="1">
    <field x="7"/>
  </colFields>
  <colItems count="2">
    <i>
      <x/>
    </i>
    <i>
      <x v="1"/>
    </i>
  </colItems>
  <dataFields count="1">
    <dataField name="Count of Affects_Academic_Performance" fld="7" subtotal="count" baseField="0" baseItem="0"/>
  </dataFields>
  <chartFormats count="6">
    <chartFormat chart="0" format="0" series="1">
      <pivotArea type="data" outline="0" fieldPosition="0">
        <references count="1">
          <reference field="7" count="1" selected="0">
            <x v="0"/>
          </reference>
        </references>
      </pivotArea>
    </chartFormat>
    <chartFormat chart="0" format="1" series="1">
      <pivotArea type="data" outline="0" fieldPosition="0">
        <references count="1">
          <reference field="7" count="1" selected="0">
            <x v="1"/>
          </reference>
        </references>
      </pivotArea>
    </chartFormat>
    <chartFormat chart="0" format="2" series="1">
      <pivotArea type="data" outline="0" fieldPosition="0">
        <references count="2">
          <reference field="4294967294" count="1" selected="0">
            <x v="0"/>
          </reference>
          <reference field="7"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B321C3-9C50-45A7-B557-6590AFE58477}" name="Question 4b"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D2:J8" firstHeaderRow="1" firstDataRow="2" firstDataCol="1"/>
  <pivotFields count="18">
    <pivotField showAll="0"/>
    <pivotField showAll="0"/>
    <pivotField showAll="0"/>
    <pivotField showAll="0"/>
    <pivotField showAll="0"/>
    <pivotField showAll="0"/>
    <pivotField showAll="0">
      <items count="13">
        <item x="4"/>
        <item x="0"/>
        <item x="8"/>
        <item x="7"/>
        <item x="5"/>
        <item x="6"/>
        <item x="2"/>
        <item x="1"/>
        <item x="9"/>
        <item x="11"/>
        <item x="10"/>
        <item x="3"/>
        <item t="default"/>
      </items>
    </pivotField>
    <pivotField showAll="0"/>
    <pivotField axis="axisRow" showAll="0" measureFilter="1">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axis="axisCol" showAll="0">
      <items count="7">
        <item x="4"/>
        <item x="2"/>
        <item x="0"/>
        <item x="3"/>
        <item x="1"/>
        <item x="5"/>
        <item t="default"/>
      </items>
    </pivotField>
    <pivotField showAll="0"/>
    <pivotField showAll="0"/>
    <pivotField showAll="0"/>
    <pivotField showAll="0"/>
    <pivotField showAll="0"/>
    <pivotField showAll="0"/>
    <pivotField dataField="1" showAll="0"/>
    <pivotField showAll="0"/>
  </pivotFields>
  <rowFields count="1">
    <field x="8"/>
  </rowFields>
  <rowItems count="5">
    <i>
      <x v="29"/>
    </i>
    <i>
      <x v="34"/>
    </i>
    <i>
      <x v="35"/>
    </i>
    <i>
      <x v="36"/>
    </i>
    <i>
      <x v="37"/>
    </i>
  </rowItems>
  <colFields count="1">
    <field x="9"/>
  </colFields>
  <colItems count="6">
    <i>
      <x/>
    </i>
    <i>
      <x v="1"/>
    </i>
    <i>
      <x v="2"/>
    </i>
    <i>
      <x v="3"/>
    </i>
    <i>
      <x v="4"/>
    </i>
    <i>
      <x v="5"/>
    </i>
  </colItems>
  <dataFields count="1">
    <dataField name="Count of Mental_Health" fld="16" subtotal="count" baseField="0" baseItem="0"/>
  </dataFields>
  <chartFormats count="18">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0" format="4" series="1">
      <pivotArea type="data" outline="0" fieldPosition="0">
        <references count="1">
          <reference field="9" count="1" selected="0">
            <x v="4"/>
          </reference>
        </references>
      </pivotArea>
    </chartFormat>
    <chartFormat chart="0" format="5" series="1">
      <pivotArea type="data" outline="0" fieldPosition="0">
        <references count="1">
          <reference field="9" count="1" selected="0">
            <x v="5"/>
          </reference>
        </references>
      </pivotArea>
    </chartFormat>
    <chartFormat chart="0" format="6" series="1">
      <pivotArea type="data" outline="0" fieldPosition="0">
        <references count="2">
          <reference field="4294967294" count="1" selected="0">
            <x v="0"/>
          </reference>
          <reference field="9"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2"/>
          </reference>
        </references>
      </pivotArea>
    </chartFormat>
    <chartFormat chart="0" format="9" series="1">
      <pivotArea type="data" outline="0" fieldPosition="0">
        <references count="2">
          <reference field="4294967294" count="1" selected="0">
            <x v="0"/>
          </reference>
          <reference field="9" count="1" selected="0">
            <x v="3"/>
          </reference>
        </references>
      </pivotArea>
    </chartFormat>
    <chartFormat chart="0" format="10" series="1">
      <pivotArea type="data" outline="0" fieldPosition="0">
        <references count="2">
          <reference field="4294967294" count="1" selected="0">
            <x v="0"/>
          </reference>
          <reference field="9" count="1" selected="0">
            <x v="4"/>
          </reference>
        </references>
      </pivotArea>
    </chartFormat>
    <chartFormat chart="0" format="11" series="1">
      <pivotArea type="data" outline="0" fieldPosition="0">
        <references count="2">
          <reference field="4294967294" count="1" selected="0">
            <x v="0"/>
          </reference>
          <reference field="9" count="1" selected="0">
            <x v="5"/>
          </reference>
        </references>
      </pivotArea>
    </chartFormat>
    <chartFormat chart="11" format="18" series="1">
      <pivotArea type="data" outline="0" fieldPosition="0">
        <references count="2">
          <reference field="4294967294" count="1" selected="0">
            <x v="0"/>
          </reference>
          <reference field="9" count="1" selected="0">
            <x v="0"/>
          </reference>
        </references>
      </pivotArea>
    </chartFormat>
    <chartFormat chart="11" format="19" series="1">
      <pivotArea type="data" outline="0" fieldPosition="0">
        <references count="2">
          <reference field="4294967294" count="1" selected="0">
            <x v="0"/>
          </reference>
          <reference field="9" count="1" selected="0">
            <x v="1"/>
          </reference>
        </references>
      </pivotArea>
    </chartFormat>
    <chartFormat chart="11" format="20" series="1">
      <pivotArea type="data" outline="0" fieldPosition="0">
        <references count="2">
          <reference field="4294967294" count="1" selected="0">
            <x v="0"/>
          </reference>
          <reference field="9" count="1" selected="0">
            <x v="2"/>
          </reference>
        </references>
      </pivotArea>
    </chartFormat>
    <chartFormat chart="11" format="21" series="1">
      <pivotArea type="data" outline="0" fieldPosition="0">
        <references count="2">
          <reference field="4294967294" count="1" selected="0">
            <x v="0"/>
          </reference>
          <reference field="9" count="1" selected="0">
            <x v="3"/>
          </reference>
        </references>
      </pivotArea>
    </chartFormat>
    <chartFormat chart="11" format="22" series="1">
      <pivotArea type="data" outline="0" fieldPosition="0">
        <references count="2">
          <reference field="4294967294" count="1" selected="0">
            <x v="0"/>
          </reference>
          <reference field="9" count="1" selected="0">
            <x v="4"/>
          </reference>
        </references>
      </pivotArea>
    </chartFormat>
    <chartFormat chart="11" format="23"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A981FA-135A-4B4A-A6A7-19AF970077A4}" name="Question 4a"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B6" firstHeaderRow="1" firstDataRow="1" firstDataCol="1"/>
  <pivotFields count="18">
    <pivotField showAll="0"/>
    <pivotField showAll="0"/>
    <pivotField showAll="0">
      <items count="3">
        <item x="0"/>
        <item x="1"/>
        <item t="default"/>
      </items>
    </pivotField>
    <pivotField showAll="0">
      <items count="4">
        <item x="1"/>
        <item x="2"/>
        <item x="0"/>
        <item t="default"/>
      </items>
    </pivotField>
    <pivotField showAll="0"/>
    <pivotField axis="axisRow" showAll="0" measureFilter="1">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5">
    <i>
      <x v="25"/>
    </i>
    <i>
      <x v="26"/>
    </i>
    <i>
      <x v="27"/>
    </i>
    <i>
      <x v="28"/>
    </i>
    <i>
      <x v="29"/>
    </i>
  </rowItems>
  <colItems count="1">
    <i/>
  </colItems>
  <dataFields count="1">
    <dataField name="Count of Negative_Sleep_Effect" fld="1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C35A6B-203F-4345-95BA-AE5659893D6A}" name="Question 4d"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Q3:T7"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4">
        <item x="0"/>
        <item x="1"/>
        <item x="2"/>
        <item t="default"/>
      </items>
    </pivotField>
    <pivotField showAll="0"/>
    <pivotField name="Addicted" showAll="0">
      <items count="4">
        <item x="0"/>
        <item x="1"/>
        <item x="2"/>
        <item t="default"/>
      </items>
    </pivotField>
  </pivotFields>
  <rowFields count="1">
    <field x="14"/>
  </rowFields>
  <rowItems count="3">
    <i>
      <x/>
    </i>
    <i>
      <x v="1"/>
    </i>
    <i>
      <x v="2"/>
    </i>
  </rowItems>
  <colFields count="1">
    <field x="15"/>
  </colFields>
  <colItems count="3">
    <i>
      <x/>
    </i>
    <i>
      <x v="1"/>
    </i>
    <i>
      <x v="2"/>
    </i>
  </colItems>
  <dataFields count="1">
    <dataField name="Count of Negative_Sleep_Effect" fld="15" subtotal="count" baseField="0" baseItem="0"/>
  </dataFields>
  <chartFormats count="9">
    <chartFormat chart="0" format="0" series="1">
      <pivotArea type="data" outline="0" fieldPosition="0">
        <references count="1">
          <reference field="15" count="1" selected="0">
            <x v="0"/>
          </reference>
        </references>
      </pivotArea>
    </chartFormat>
    <chartFormat chart="0" format="1" series="1">
      <pivotArea type="data" outline="0" fieldPosition="0">
        <references count="1">
          <reference field="15" count="1" selected="0">
            <x v="1"/>
          </reference>
        </references>
      </pivotArea>
    </chartFormat>
    <chartFormat chart="0" format="2" series="1">
      <pivotArea type="data" outline="0" fieldPosition="0">
        <references count="1">
          <reference field="15" count="1" selected="0">
            <x v="2"/>
          </reference>
        </references>
      </pivotArea>
    </chartFormat>
    <chartFormat chart="0" format="3" series="1">
      <pivotArea type="data" outline="0" fieldPosition="0">
        <references count="2">
          <reference field="4294967294" count="1" selected="0">
            <x v="0"/>
          </reference>
          <reference field="15" count="1" selected="0">
            <x v="0"/>
          </reference>
        </references>
      </pivotArea>
    </chartFormat>
    <chartFormat chart="0" format="4" series="1">
      <pivotArea type="data" outline="0" fieldPosition="0">
        <references count="2">
          <reference field="4294967294" count="1" selected="0">
            <x v="0"/>
          </reference>
          <reference field="15" count="1" selected="0">
            <x v="1"/>
          </reference>
        </references>
      </pivotArea>
    </chartFormat>
    <chartFormat chart="0" format="5" series="1">
      <pivotArea type="data" outline="0" fieldPosition="0">
        <references count="2">
          <reference field="4294967294" count="1" selected="0">
            <x v="0"/>
          </reference>
          <reference field="15" count="1" selected="0">
            <x v="2"/>
          </reference>
        </references>
      </pivotArea>
    </chartFormat>
    <chartFormat chart="2" format="9" series="1">
      <pivotArea type="data" outline="0" fieldPosition="0">
        <references count="2">
          <reference field="4294967294" count="1" selected="0">
            <x v="0"/>
          </reference>
          <reference field="15" count="1" selected="0">
            <x v="0"/>
          </reference>
        </references>
      </pivotArea>
    </chartFormat>
    <chartFormat chart="2" format="10" series="1">
      <pivotArea type="data" outline="0" fieldPosition="0">
        <references count="2">
          <reference field="4294967294" count="1" selected="0">
            <x v="0"/>
          </reference>
          <reference field="15" count="1" selected="0">
            <x v="1"/>
          </reference>
        </references>
      </pivotArea>
    </chartFormat>
    <chartFormat chart="2" format="11"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B7F6A2-3550-446E-91E4-A4B37900277F}" name="Question 4c"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L2:O6" firstHeaderRow="1" firstDataRow="2" firstDataCol="1"/>
  <pivotFields count="18">
    <pivotField showAll="0"/>
    <pivotField showAll="0"/>
    <pivotField showAll="0"/>
    <pivotField showAll="0"/>
    <pivotField showAll="0"/>
    <pivotField showAll="0"/>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 showAll="0">
      <items count="4">
        <item x="2"/>
        <item x="1"/>
        <item x="0"/>
        <item t="default"/>
      </items>
    </pivotField>
    <pivotField axis="axisRow" showAll="0">
      <items count="4">
        <item x="0"/>
        <item x="1"/>
        <item x="2"/>
        <item t="default"/>
      </items>
    </pivotField>
    <pivotField showAll="0"/>
    <pivotField axis="axisCol" dataField="1" showAll="0">
      <items count="4">
        <item x="0"/>
        <item x="1"/>
        <item x="2"/>
        <item t="default"/>
      </items>
    </pivotField>
    <pivotField showAll="0"/>
  </pivotFields>
  <rowFields count="1">
    <field x="14"/>
  </rowFields>
  <rowItems count="3">
    <i>
      <x/>
    </i>
    <i>
      <x v="1"/>
    </i>
    <i>
      <x v="2"/>
    </i>
  </rowItems>
  <colFields count="1">
    <field x="16"/>
  </colFields>
  <colItems count="3">
    <i>
      <x/>
    </i>
    <i>
      <x v="1"/>
    </i>
    <i>
      <x v="2"/>
    </i>
  </colItems>
  <dataFields count="1">
    <dataField name="Count of Mental_Health" fld="16" subtotal="count" baseField="0" baseItem="0"/>
  </dataFields>
  <chartFormats count="9">
    <chartFormat chart="0" format="9" series="1">
      <pivotArea type="data" outline="0" fieldPosition="0">
        <references count="1">
          <reference field="16" count="1" selected="0">
            <x v="0"/>
          </reference>
        </references>
      </pivotArea>
    </chartFormat>
    <chartFormat chart="0" format="10" series="1">
      <pivotArea type="data" outline="0" fieldPosition="0">
        <references count="1">
          <reference field="16" count="1" selected="0">
            <x v="1"/>
          </reference>
        </references>
      </pivotArea>
    </chartFormat>
    <chartFormat chart="0" format="11" series="1">
      <pivotArea type="data" outline="0" fieldPosition="0">
        <references count="1">
          <reference field="16" count="1" selected="0">
            <x v="2"/>
          </reference>
        </references>
      </pivotArea>
    </chartFormat>
    <chartFormat chart="0" format="15" series="1">
      <pivotArea type="data" outline="0" fieldPosition="0">
        <references count="2">
          <reference field="4294967294" count="1" selected="0">
            <x v="0"/>
          </reference>
          <reference field="16" count="1" selected="0">
            <x v="0"/>
          </reference>
        </references>
      </pivotArea>
    </chartFormat>
    <chartFormat chart="0" format="16" series="1">
      <pivotArea type="data" outline="0" fieldPosition="0">
        <references count="2">
          <reference field="4294967294" count="1" selected="0">
            <x v="0"/>
          </reference>
          <reference field="16" count="1" selected="0">
            <x v="1"/>
          </reference>
        </references>
      </pivotArea>
    </chartFormat>
    <chartFormat chart="0" format="17" series="1">
      <pivotArea type="data" outline="0" fieldPosition="0">
        <references count="2">
          <reference field="4294967294" count="1" selected="0">
            <x v="0"/>
          </reference>
          <reference field="16" count="1" selected="0">
            <x v="2"/>
          </reference>
        </references>
      </pivotArea>
    </chartFormat>
    <chartFormat chart="2" format="21" series="1">
      <pivotArea type="data" outline="0" fieldPosition="0">
        <references count="2">
          <reference field="4294967294" count="1" selected="0">
            <x v="0"/>
          </reference>
          <reference field="16" count="1" selected="0">
            <x v="0"/>
          </reference>
        </references>
      </pivotArea>
    </chartFormat>
    <chartFormat chart="2" format="22" series="1">
      <pivotArea type="data" outline="0" fieldPosition="0">
        <references count="2">
          <reference field="4294967294" count="1" selected="0">
            <x v="0"/>
          </reference>
          <reference field="16" count="1" selected="0">
            <x v="1"/>
          </reference>
        </references>
      </pivotArea>
    </chartFormat>
    <chartFormat chart="2" format="23"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8C4AB1-CA0C-471F-B4E2-123E60FAEC61}" name="Question 5b"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2:I11"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items count="9">
        <item x="5"/>
        <item x="1"/>
        <item x="3"/>
        <item x="6"/>
        <item x="7"/>
        <item x="4"/>
        <item x="0"/>
        <item x="2"/>
        <item t="default"/>
      </items>
    </pivotField>
    <pivotField showAll="0"/>
    <pivotField showAll="0"/>
    <pivotField showAll="0"/>
    <pivotField axis="axisCol" dataField="1" showAll="0">
      <items count="4">
        <item x="0"/>
        <item x="1"/>
        <item x="2"/>
        <item t="default"/>
      </items>
    </pivotField>
    <pivotField showAll="0"/>
  </pivotFields>
  <rowFields count="1">
    <field x="12"/>
  </rowFields>
  <rowItems count="8">
    <i>
      <x/>
    </i>
    <i>
      <x v="1"/>
    </i>
    <i>
      <x v="2"/>
    </i>
    <i>
      <x v="3"/>
    </i>
    <i>
      <x v="4"/>
    </i>
    <i>
      <x v="5"/>
    </i>
    <i>
      <x v="6"/>
    </i>
    <i>
      <x v="7"/>
    </i>
  </rowItems>
  <colFields count="1">
    <field x="16"/>
  </colFields>
  <colItems count="3">
    <i>
      <x/>
    </i>
    <i>
      <x v="1"/>
    </i>
    <i>
      <x v="2"/>
    </i>
  </colItems>
  <dataFields count="1">
    <dataField name="Count of Mental_Health" fld="16" subtotal="count" baseField="0" baseItem="0"/>
  </dataFields>
  <chartFormats count="9">
    <chartFormat chart="0" format="0" series="1">
      <pivotArea type="data" outline="0" fieldPosition="0">
        <references count="1">
          <reference field="16" count="1" selected="0">
            <x v="0"/>
          </reference>
        </references>
      </pivotArea>
    </chartFormat>
    <chartFormat chart="0" format="1" series="1">
      <pivotArea type="data" outline="0" fieldPosition="0">
        <references count="1">
          <reference field="16" count="1" selected="0">
            <x v="1"/>
          </reference>
        </references>
      </pivotArea>
    </chartFormat>
    <chartFormat chart="0" format="2" series="1">
      <pivotArea type="data" outline="0" fieldPosition="0">
        <references count="1">
          <reference field="16" count="1" selected="0">
            <x v="2"/>
          </reference>
        </references>
      </pivotArea>
    </chartFormat>
    <chartFormat chart="0" format="3" series="1">
      <pivotArea type="data" outline="0" fieldPosition="0">
        <references count="2">
          <reference field="4294967294" count="1" selected="0">
            <x v="0"/>
          </reference>
          <reference field="16" count="1" selected="0">
            <x v="0"/>
          </reference>
        </references>
      </pivotArea>
    </chartFormat>
    <chartFormat chart="0" format="4" series="1">
      <pivotArea type="data" outline="0" fieldPosition="0">
        <references count="2">
          <reference field="4294967294" count="1" selected="0">
            <x v="0"/>
          </reference>
          <reference field="16" count="1" selected="0">
            <x v="1"/>
          </reference>
        </references>
      </pivotArea>
    </chartFormat>
    <chartFormat chart="0" format="5"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2">
          <reference field="4294967294" count="1" selected="0">
            <x v="0"/>
          </reference>
          <reference field="16" count="1" selected="0">
            <x v="0"/>
          </reference>
        </references>
      </pivotArea>
    </chartFormat>
    <chartFormat chart="2" format="10" series="1">
      <pivotArea type="data" outline="0" fieldPosition="0">
        <references count="2">
          <reference field="4294967294" count="1" selected="0">
            <x v="0"/>
          </reference>
          <reference field="16" count="1" selected="0">
            <x v="1"/>
          </reference>
        </references>
      </pivotArea>
    </chartFormat>
    <chartFormat chart="2" format="11"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9FC0E9-3376-4110-9E71-BDF2E9569521}" name="Question 5a"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D13" firstHeaderRow="1" firstDataRow="2" firstDataCol="1"/>
  <pivotFields count="18">
    <pivotField showAll="0"/>
    <pivotField showAll="0"/>
    <pivotField showAll="0"/>
    <pivotField showAll="0"/>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axis="axisCol" dataField="1" showAll="0">
      <items count="4">
        <item x="0"/>
        <item x="1"/>
        <item x="2"/>
        <item t="default"/>
      </items>
    </pivotField>
    <pivotField showAll="0"/>
  </pivotFields>
  <rowFields count="1">
    <field x="4"/>
  </rowFields>
  <rowItems count="10">
    <i>
      <x v="18"/>
    </i>
    <i>
      <x v="26"/>
    </i>
    <i>
      <x v="31"/>
    </i>
    <i>
      <x v="39"/>
    </i>
    <i>
      <x v="42"/>
    </i>
    <i>
      <x v="61"/>
    </i>
    <i>
      <x v="90"/>
    </i>
    <i>
      <x v="93"/>
    </i>
    <i>
      <x v="99"/>
    </i>
    <i>
      <x v="104"/>
    </i>
  </rowItems>
  <colFields count="1">
    <field x="16"/>
  </colFields>
  <colItems count="3">
    <i>
      <x/>
    </i>
    <i>
      <x v="1"/>
    </i>
    <i>
      <x v="2"/>
    </i>
  </colItems>
  <dataFields count="1">
    <dataField name="Count of Mental_Health" fld="16"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0"/>
          </reference>
        </references>
      </pivotArea>
    </chartFormat>
    <chartFormat chart="2" format="8" series="1">
      <pivotArea type="data" outline="0" fieldPosition="0">
        <references count="2">
          <reference field="4294967294" count="1" selected="0">
            <x v="0"/>
          </reference>
          <reference field="16" count="1" selected="0">
            <x v="1"/>
          </reference>
        </references>
      </pivotArea>
    </chartFormat>
    <chartFormat chart="2" format="9"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58EAE68-77EE-48F8-B916-570EC040E32C}" name="Question 5c"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3:O9" firstHeaderRow="1" firstDataRow="2" firstDataCol="1"/>
  <pivotFields count="18">
    <pivotField showAll="0"/>
    <pivotField showAll="0"/>
    <pivotField showAll="0">
      <items count="3">
        <item x="0"/>
        <item x="1"/>
        <item t="default"/>
      </items>
    </pivotField>
    <pivotField showAll="0">
      <items count="4">
        <item x="1"/>
        <item x="2"/>
        <item x="0"/>
        <item t="default"/>
      </items>
    </pivotField>
    <pivotField showAll="0"/>
    <pivotField showAll="0"/>
    <pivotField axis="axisRow" showAll="0" measureFilter="1">
      <items count="13">
        <item x="4"/>
        <item x="0"/>
        <item x="8"/>
        <item x="7"/>
        <item x="5"/>
        <item x="6"/>
        <item x="2"/>
        <item x="1"/>
        <item x="9"/>
        <item x="11"/>
        <item x="10"/>
        <item x="3"/>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axis="axisCol" dataField="1" showAll="0">
      <items count="4">
        <item x="0"/>
        <item x="1"/>
        <item x="2"/>
        <item t="default"/>
      </items>
    </pivotField>
    <pivotField name="Addicted" showAll="0">
      <items count="4">
        <item x="0"/>
        <item x="1"/>
        <item x="2"/>
        <item t="default"/>
      </items>
    </pivotField>
  </pivotFields>
  <rowFields count="1">
    <field x="6"/>
  </rowFields>
  <rowItems count="5">
    <i>
      <x/>
    </i>
    <i>
      <x v="1"/>
    </i>
    <i>
      <x v="6"/>
    </i>
    <i>
      <x v="7"/>
    </i>
    <i>
      <x v="10"/>
    </i>
  </rowItems>
  <colFields count="1">
    <field x="16"/>
  </colFields>
  <colItems count="3">
    <i>
      <x/>
    </i>
    <i>
      <x v="1"/>
    </i>
    <i>
      <x v="2"/>
    </i>
  </colItems>
  <dataFields count="1">
    <dataField name="Count of Mental_Health" fld="16" subtotal="count" baseField="0" baseItem="0"/>
  </dataFields>
  <chartFormats count="12">
    <chartFormat chart="0" format="0" series="1">
      <pivotArea type="data" outline="0" fieldPosition="0">
        <references count="1">
          <reference field="16" count="1" selected="0">
            <x v="0"/>
          </reference>
        </references>
      </pivotArea>
    </chartFormat>
    <chartFormat chart="0" format="1" series="1">
      <pivotArea type="data" outline="0" fieldPosition="0">
        <references count="1">
          <reference field="16" count="1" selected="0">
            <x v="1"/>
          </reference>
        </references>
      </pivotArea>
    </chartFormat>
    <chartFormat chart="0" format="2" series="1">
      <pivotArea type="data" outline="0" fieldPosition="0">
        <references count="1">
          <reference field="16" count="1" selected="0">
            <x v="2"/>
          </reference>
        </references>
      </pivotArea>
    </chartFormat>
    <chartFormat chart="0" format="3" series="1">
      <pivotArea type="data" outline="0" fieldPosition="0">
        <references count="2">
          <reference field="4294967294" count="1" selected="0">
            <x v="0"/>
          </reference>
          <reference field="16" count="1" selected="0">
            <x v="0"/>
          </reference>
        </references>
      </pivotArea>
    </chartFormat>
    <chartFormat chart="0" format="4" series="1">
      <pivotArea type="data" outline="0" fieldPosition="0">
        <references count="2">
          <reference field="4294967294" count="1" selected="0">
            <x v="0"/>
          </reference>
          <reference field="16" count="1" selected="0">
            <x v="1"/>
          </reference>
        </references>
      </pivotArea>
    </chartFormat>
    <chartFormat chart="0"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3" format="9" series="1">
      <pivotArea type="data" outline="0" fieldPosition="0">
        <references count="2">
          <reference field="4294967294" count="1" selected="0">
            <x v="0"/>
          </reference>
          <reference field="16" count="1" selected="0">
            <x v="0"/>
          </reference>
        </references>
      </pivotArea>
    </chartFormat>
    <chartFormat chart="3" format="10" series="1">
      <pivotArea type="data" outline="0" fieldPosition="0">
        <references count="2">
          <reference field="4294967294" count="1" selected="0">
            <x v="0"/>
          </reference>
          <reference field="16" count="1" selected="0">
            <x v="1"/>
          </reference>
        </references>
      </pivotArea>
    </chartFormat>
    <chartFormat chart="3" format="11"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8D39BBE-E926-417A-A743-97E8F764FB27}"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C4" firstHeaderRow="0"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s>
  <rowFields count="1">
    <field x="10"/>
  </rowFields>
  <rowItems count="3">
    <i>
      <x/>
    </i>
    <i>
      <x v="1"/>
    </i>
    <i>
      <x v="2"/>
    </i>
  </rowItems>
  <colFields count="1">
    <field x="-2"/>
  </colFields>
  <colItems count="2">
    <i>
      <x/>
    </i>
    <i i="1">
      <x v="1"/>
    </i>
  </colItems>
  <dataFields count="2">
    <dataField name="Count of Conflicts_Over_Social_Media" fld="11" subtotal="count" baseField="10" baseItem="0"/>
    <dataField name="Average of Conflicts_Over_Social_Media2" fld="11" subtotal="average" baseField="1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87125-524A-4E1C-AA23-B2DFC622B39C}"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P1:V5" firstHeaderRow="1" firstDataRow="2" firstDataCol="1"/>
  <pivotFields count="18">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7">
        <item x="1"/>
        <item x="3"/>
        <item x="4"/>
        <item x="0"/>
        <item x="2"/>
        <item x="5"/>
        <item t="default"/>
      </items>
    </pivotField>
    <pivotField showAll="0"/>
    <pivotField showAll="0"/>
    <pivotField showAll="0"/>
    <pivotField showAll="0"/>
    <pivotField showAll="0"/>
    <pivotField showAll="0"/>
  </pivotFields>
  <rowFields count="1">
    <field x="10"/>
  </rowFields>
  <rowItems count="3">
    <i>
      <x/>
    </i>
    <i>
      <x v="1"/>
    </i>
    <i>
      <x v="2"/>
    </i>
  </rowItems>
  <colFields count="1">
    <field x="11"/>
  </colFields>
  <colItems count="6">
    <i>
      <x/>
    </i>
    <i>
      <x v="1"/>
    </i>
    <i>
      <x v="2"/>
    </i>
    <i>
      <x v="3"/>
    </i>
    <i>
      <x v="4"/>
    </i>
    <i>
      <x v="5"/>
    </i>
  </colItems>
  <dataFields count="1">
    <dataField name="Count of Conflicts_Over_Social_Media" fld="11" subtotal="count" baseField="11" baseItem="0"/>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0"/>
          </reference>
        </references>
      </pivotArea>
    </chartFormat>
    <chartFormat chart="5" format="8" series="1">
      <pivotArea type="data" outline="0" fieldPosition="0">
        <references count="2">
          <reference field="4294967294" count="1" selected="0">
            <x v="0"/>
          </reference>
          <reference field="11" count="1" selected="0">
            <x v="1"/>
          </reference>
        </references>
      </pivotArea>
    </chartFormat>
    <chartFormat chart="5" format="9" series="1">
      <pivotArea type="data" outline="0" fieldPosition="0">
        <references count="2">
          <reference field="4294967294" count="1" selected="0">
            <x v="0"/>
          </reference>
          <reference field="11" count="1" selected="0">
            <x v="2"/>
          </reference>
        </references>
      </pivotArea>
    </chartFormat>
    <chartFormat chart="5" format="10" series="1">
      <pivotArea type="data" outline="0" fieldPosition="0">
        <references count="2">
          <reference field="4294967294" count="1" selected="0">
            <x v="0"/>
          </reference>
          <reference field="11" count="1" selected="0">
            <x v="3"/>
          </reference>
        </references>
      </pivotArea>
    </chartFormat>
    <chartFormat chart="5" format="11" series="1">
      <pivotArea type="data" outline="0" fieldPosition="0">
        <references count="2">
          <reference field="4294967294" count="1" selected="0">
            <x v="0"/>
          </reference>
          <reference field="11" count="1" selected="0">
            <x v="4"/>
          </reference>
        </references>
      </pivotArea>
    </chartFormat>
    <chartFormat chart="5" format="12" series="1">
      <pivotArea type="data" outline="0" fieldPosition="0">
        <references count="2">
          <reference field="4294967294" count="1" selected="0">
            <x v="0"/>
          </reference>
          <reference field="11" count="1" selected="0">
            <x v="5"/>
          </reference>
        </references>
      </pivotArea>
    </chartFormat>
    <chartFormat chart="6" format="13" series="1">
      <pivotArea type="data" outline="0" fieldPosition="0">
        <references count="2">
          <reference field="4294967294" count="1" selected="0">
            <x v="0"/>
          </reference>
          <reference field="11" count="1" selected="0">
            <x v="0"/>
          </reference>
        </references>
      </pivotArea>
    </chartFormat>
    <chartFormat chart="6" format="14" series="1">
      <pivotArea type="data" outline="0" fieldPosition="0">
        <references count="2">
          <reference field="4294967294" count="1" selected="0">
            <x v="0"/>
          </reference>
          <reference field="11" count="1" selected="0">
            <x v="1"/>
          </reference>
        </references>
      </pivotArea>
    </chartFormat>
    <chartFormat chart="6" format="15" series="1">
      <pivotArea type="data" outline="0" fieldPosition="0">
        <references count="2">
          <reference field="4294967294" count="1" selected="0">
            <x v="0"/>
          </reference>
          <reference field="11" count="1" selected="0">
            <x v="2"/>
          </reference>
        </references>
      </pivotArea>
    </chartFormat>
    <chartFormat chart="6" format="16" series="1">
      <pivotArea type="data" outline="0" fieldPosition="0">
        <references count="2">
          <reference field="4294967294" count="1" selected="0">
            <x v="0"/>
          </reference>
          <reference field="11" count="1" selected="0">
            <x v="3"/>
          </reference>
        </references>
      </pivotArea>
    </chartFormat>
    <chartFormat chart="6" format="17" series="1">
      <pivotArea type="data" outline="0" fieldPosition="0">
        <references count="2">
          <reference field="4294967294" count="1" selected="0">
            <x v="0"/>
          </reference>
          <reference field="11" count="1" selected="0">
            <x v="4"/>
          </reference>
        </references>
      </pivotArea>
    </chartFormat>
    <chartFormat chart="6" format="18"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9CAC60-E07B-4365-9814-D291DCDA4DFC}"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1:H5" firstHeaderRow="1" firstDataRow="2" firstDataCol="1"/>
  <pivotFields count="18">
    <pivotField showAll="0"/>
    <pivotField showAll="0"/>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pivotField showAll="0"/>
    <pivotField axis="axisRow" dataField="1" showAll="0">
      <items count="4">
        <item x="2"/>
        <item x="0"/>
        <item x="1"/>
        <item t="default"/>
      </items>
    </pivotField>
    <pivotField showAll="0"/>
    <pivotField showAll="0">
      <items count="9">
        <item x="5"/>
        <item x="1"/>
        <item x="3"/>
        <item x="6"/>
        <item x="7"/>
        <item x="4"/>
        <item x="0"/>
        <item x="2"/>
        <item t="default"/>
      </items>
    </pivotField>
    <pivotField showAll="0"/>
    <pivotField showAll="0"/>
    <pivotField showAll="0"/>
    <pivotField showAll="0"/>
    <pivotField name="Addicted" axis="axisCol" showAll="0">
      <items count="4">
        <item x="0"/>
        <item x="1"/>
        <item x="2"/>
        <item t="default"/>
      </items>
    </pivotField>
  </pivotFields>
  <rowFields count="1">
    <field x="10"/>
  </rowFields>
  <rowItems count="3">
    <i>
      <x/>
    </i>
    <i>
      <x v="1"/>
    </i>
    <i>
      <x v="2"/>
    </i>
  </rowItems>
  <colFields count="1">
    <field x="17"/>
  </colFields>
  <colItems count="3">
    <i>
      <x/>
    </i>
    <i>
      <x v="1"/>
    </i>
    <i>
      <x v="2"/>
    </i>
  </colItems>
  <dataFields count="1">
    <dataField name="Count of Relationship_Status" fld="10" subtotal="count" baseField="0" baseItem="0"/>
  </dataFields>
  <chartFormats count="8">
    <chartFormat chart="0" format="0"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7" format="26" series="1">
      <pivotArea type="data" outline="0" fieldPosition="0">
        <references count="2">
          <reference field="4294967294" count="1" selected="0">
            <x v="0"/>
          </reference>
          <reference field="17" count="1" selected="0">
            <x v="1"/>
          </reference>
        </references>
      </pivotArea>
    </chartFormat>
    <chartFormat chart="7" format="27" series="1">
      <pivotArea type="data" outline="0" fieldPosition="0">
        <references count="2">
          <reference field="4294967294" count="1" selected="0">
            <x v="0"/>
          </reference>
          <reference field="17" count="1" selected="0">
            <x v="2"/>
          </reference>
        </references>
      </pivotArea>
    </chartFormat>
    <chartFormat chart="7" format="28" series="1">
      <pivotArea type="data" outline="0" fieldPosition="0">
        <references count="2">
          <reference field="4294967294" count="1" selected="0">
            <x v="0"/>
          </reference>
          <reference field="17" count="1" selected="0">
            <x v="0"/>
          </reference>
        </references>
      </pivotArea>
    </chartFormat>
    <chartFormat chart="0" format="9" series="1">
      <pivotArea type="data" outline="0" fieldPosition="0">
        <references count="2">
          <reference field="4294967294" count="1" selected="0">
            <x v="0"/>
          </reference>
          <reference field="17" count="1" selected="0">
            <x v="1"/>
          </reference>
        </references>
      </pivotArea>
    </chartFormat>
    <chartFormat chart="0" format="10" series="1">
      <pivotArea type="data" outline="0" fieldPosition="0">
        <references count="2">
          <reference field="4294967294" count="1" selected="0">
            <x v="0"/>
          </reference>
          <reference field="17" count="1" selected="0">
            <x v="2"/>
          </reference>
        </references>
      </pivotArea>
    </chartFormat>
    <chartFormat chart="0" format="11"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B5930476-E611-4445-8063-6EBB5B0F2EA1}" sourceName="Academic_Level">
  <pivotTables>
    <pivotTable tabId="2" name="Question 1b"/>
    <pivotTable tabId="2" name="Question 1a"/>
  </pivotTables>
  <data>
    <tabular pivotCacheId="91593105">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83A163-3673-4998-98DA-D5BA76FD35DD}" sourceName="Gender">
  <pivotTables>
    <pivotTable tabId="3" name="Question 2c"/>
    <pivotTable tabId="3" name="Question 2a"/>
    <pivotTable tabId="3" name="Question 2b"/>
  </pivotTables>
  <data>
    <tabular pivotCacheId="11317137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CD480B22-080E-4752-ADD7-005A3F11C281}" sourceName="Most_Used_Platform">
  <pivotTables>
    <pivotTable tabId="3" name="Question 2a"/>
    <pivotTable tabId="3" name="Question 2c"/>
  </pivotTables>
  <data>
    <tabular pivotCacheId="1131713711" customListSort="0">
      <items count="12">
        <i x="4" s="1"/>
        <i x="0" s="1"/>
        <i x="5" s="1"/>
        <i x="6" s="1"/>
        <i x="2" s="1"/>
        <i x="3" s="1"/>
        <i x="8" s="1" nd="1"/>
        <i x="7" s="1" nd="1"/>
        <i x="1" s="1" nd="1"/>
        <i x="9" s="1" nd="1"/>
        <i x="11"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1" xr10:uid="{D65DAD2F-97EC-4161-9C1D-75DFEAE80E4E}" sourceName="Academic_Level">
  <pivotTables>
    <pivotTable tabId="3" name="Question 2b"/>
    <pivotTable tabId="3" name="Question 2a"/>
    <pivotTable tabId="3" name="Question 2c"/>
  </pivotTables>
  <data>
    <tabular pivotCacheId="113171371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8ADDB972-5155-4455-858C-A909DCA5A0D4}" sourceName="Relationship_Status">
  <pivotTables>
    <pivotTable tabId="3" name="Question 2a"/>
    <pivotTable tabId="3" name="Question 2b"/>
    <pivotTable tabId="3" name="Question 2c"/>
  </pivotTables>
  <data>
    <tabular pivotCacheId="1131713711">
      <items count="3">
        <i x="2" s="1"/>
        <i x="0"/>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1" xr10:uid="{102AADA8-5D77-4473-94EB-CF45D9DF23CF}" sourceName="Most_Used_Platform">
  <pivotTables>
    <pivotTable tabId="4" name="Question 3a"/>
    <pivotTable tabId="4" name="Question 3b"/>
    <pivotTable tabId="4" name="Question 3c"/>
  </pivotTables>
  <data>
    <tabular pivotCacheId="1131713711">
      <items count="12">
        <i x="4" s="1"/>
        <i x="0" s="1"/>
        <i x="8" s="1"/>
        <i x="7" s="1"/>
        <i x="5" s="1"/>
        <i x="6" s="1"/>
        <i x="2" s="1"/>
        <i x="1" s="1"/>
        <i x="9" s="1"/>
        <i x="11" s="1"/>
        <i x="1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2" xr10:uid="{58BFD71D-2A4B-408F-8240-508E4839F4E7}" sourceName="Academic_Level">
  <pivotTables>
    <pivotTable tabId="4" name="Question 3c"/>
    <pivotTable tabId="4" name="Question 3a"/>
    <pivotTable tabId="4" name="Question 3b"/>
  </pivotTables>
  <data>
    <tabular pivotCacheId="1131713711">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D09B880-DA4C-4A3C-895E-4544E4A3ABF0}" sourceName="Gender">
  <pivotTables>
    <pivotTable tabId="4" name="Question 3b"/>
  </pivotTables>
  <data>
    <tabular pivotCacheId="1131713711">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6BAC58C-B82A-469C-ACFB-F9F387FC8687}" sourceName="Gender">
  <pivotTables>
    <pivotTable tabId="8" name="Question 4a"/>
  </pivotTables>
  <data>
    <tabular pivotCacheId="1131713711">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3" xr10:uid="{989C0117-206E-4887-9937-780160BFB3E8}" sourceName="Academic_Level">
  <pivotTables>
    <pivotTable tabId="8" name="Question 4a"/>
  </pivotTables>
  <data>
    <tabular pivotCacheId="1131713711">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2" xr10:uid="{9B2509AF-B753-4A47-94D1-A23B08512187}" sourceName="Most_Used_Platform">
  <pivotTables>
    <pivotTable tabId="8" name="Question 4a"/>
    <pivotTable tabId="8" name="Question 4b"/>
    <pivotTable tabId="8" name="Question 4c"/>
  </pivotTables>
  <data>
    <tabular pivotCacheId="1131713711">
      <items count="12">
        <i x="4" s="1"/>
        <i x="0" s="1"/>
        <i x="8" s="1"/>
        <i x="7" s="1"/>
        <i x="5" s="1"/>
        <i x="6" s="1"/>
        <i x="2" s="1"/>
        <i x="1" s="1"/>
        <i x="9" s="1"/>
        <i x="11" s="1"/>
        <i x="10"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22C27585-8876-47BD-A9B3-7BC5D7369112}" sourceName="Gender">
  <pivotTables>
    <pivotTable tabId="9" name="Question 5c"/>
  </pivotTables>
  <data>
    <tabular pivotCacheId="1131713711">
      <items count="2">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4" xr10:uid="{6FEA5CC2-E0D4-4635-A1C1-1976731EB3FF}" sourceName="Academic_Level">
  <pivotTables>
    <pivotTable tabId="9" name="Question 5c"/>
  </pivotTables>
  <data>
    <tabular pivotCacheId="1131713711">
      <items count="3">
        <i x="1" s="1"/>
        <i x="2"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1" xr10:uid="{30A2DD85-25AB-4A6C-B6B6-D040742F5986}" sourceName="Relationship_Status">
  <pivotTables>
    <pivotTable tabId="9" name="Question 5c"/>
    <pivotTable tabId="9" name="Question 5a"/>
    <pivotTable tabId="9" name="Question 5b"/>
  </pivotTables>
  <data>
    <tabular pivotCacheId="1131713711">
      <items count="3">
        <i x="2" s="1"/>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18CBE1E8-FC0F-4E7E-BE62-FF56FD33EE87}" sourceName="Gender">
  <pivotTables>
    <pivotTable tabId="22" name="PivotTable3"/>
  </pivotTables>
  <data>
    <tabular pivotCacheId="1131713711">
      <items count="2">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D91619-6FC9-4A4A-9550-9E9C24C67235}" sourceName="Country">
  <pivotTables>
    <pivotTable tabId="22" name="PivotTable3"/>
  </pivotTables>
  <data>
    <tabular pivotCacheId="1131713711">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vted" xr10:uid="{20AB9E36-543D-43CF-9EC0-767B478CEE36}" sourceName="Addivted">
  <pivotTables>
    <pivotTable tabId="22" name="PivotTable3"/>
  </pivotTables>
  <data>
    <tabular pivotCacheId="11317137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xr10:uid="{B56DE509-5428-428F-A80C-1C14DCD1BE96}" cache="Slicer_Academic_Level" caption="Academic_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Platform" xr10:uid="{489A7F2D-4360-41AE-A396-1056478C37A8}" cache="Slicer_Most_Used_Platform" caption="Most_Used_Platform" startItem="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DFDF0A-6B81-4BAC-8AA6-84A2EC138C37}" cache="Slicer_Gender" caption="Gender" rowHeight="241300"/>
  <slicer name="Academic_Level 1" xr10:uid="{455614D7-0E7B-4B7A-80DD-C60EC3FEA5DA}" cache="Slicer_Academic_Level1" caption="Academic_Level" rowHeight="241300"/>
  <slicer name="Relationship_Status" xr10:uid="{D1FAB874-BDEA-42DD-BB3A-0399A096C702}" cache="Slicer_Relationship_Status" caption="Relationship_Statu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Platform 1" xr10:uid="{4A507BBB-40BE-4ECD-99BA-C963160D68FE}" cache="Slicer_Most_Used_Platform1" caption="Most_Used_Platform" rowHeight="241300"/>
  <slicer name="Academic_Level 2" xr10:uid="{3188A49E-36BF-45AB-A60C-61C42AEB6979}" cache="Slicer_Academic_Level2" caption="Academic_Level" rowHeight="241300"/>
  <slicer name="Gender 1" xr10:uid="{47C8A43B-C91D-443B-B37C-ECA5175B4907}" cache="Slicer_Gender1" caption="Gende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DDCDDA8-FCF0-4E79-A4CF-892C3058412F}" cache="Slicer_Gender2" caption="Gender" rowHeight="241300"/>
  <slicer name="Academic_Level 3" xr10:uid="{E0F3F14A-FD61-4EDC-A543-7C971B95C1AF}" cache="Slicer_Academic_Level3" caption="Academic_Level" rowHeight="241300"/>
  <slicer name="Most_Used_Platform 2" xr10:uid="{D687048F-1455-4017-9153-012EF50FA8EC}" cache="Slicer_Most_Used_Platform2" caption="Most_Used_Platform"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74D30B4-212E-4D80-9C23-4B2266529DCF}" cache="Slicer_Gender3" caption="Gender" rowHeight="241300"/>
  <slicer name="Academic_Level 4" xr10:uid="{EBED5E15-E9E2-4D2C-BC59-C0FFF205B574}" cache="Slicer_Academic_Level4" caption="Academic_Level" rowHeight="241300"/>
  <slicer name="Relationship_Status 1" xr10:uid="{F2445403-4BFC-436E-8BBD-42A03CACF668}" cache="Slicer_Relationship_Status1" caption="Relationship_Statu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6FC9E81C-6C01-407F-93AD-54E538C9B14D}" cache="Slicer_Gender4" caption="Gender" rowHeight="241300"/>
  <slicer name="Country" xr10:uid="{2903D0BA-BF88-4525-93BB-E78E32977624}" cache="Slicer_Country" caption="Country" startItem="24" rowHeight="241300"/>
  <slicer name="Addicted" xr10:uid="{D0D2672F-6D6F-4D49-A042-C0A97CA89C3F}" cache="Slicer_Addivted" caption="Addict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7.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8650-2FAF-4DC3-8CAA-1AFC19C5E31A}">
  <dimension ref="A1:U13"/>
  <sheetViews>
    <sheetView workbookViewId="0">
      <selection activeCell="O4" sqref="O4"/>
    </sheetView>
  </sheetViews>
  <sheetFormatPr defaultRowHeight="14.25" x14ac:dyDescent="0.45"/>
  <cols>
    <col min="1" max="1" width="17.46484375" bestFit="1" customWidth="1"/>
    <col min="2" max="2" width="14.73046875" bestFit="1" customWidth="1"/>
    <col min="3" max="5" width="2.73046875" bestFit="1" customWidth="1"/>
    <col min="6" max="6" width="6.265625" bestFit="1" customWidth="1"/>
    <col min="7" max="8" width="2.73046875" bestFit="1" customWidth="1"/>
    <col min="9" max="9" width="10.19921875" bestFit="1" customWidth="1"/>
    <col min="11" max="11" width="17.46484375" bestFit="1" customWidth="1"/>
    <col min="12" max="12" width="14.73046875" bestFit="1" customWidth="1"/>
    <col min="13" max="13" width="4.796875" bestFit="1" customWidth="1"/>
    <col min="14" max="14" width="14.73046875" bestFit="1" customWidth="1"/>
    <col min="15" max="15" width="12.6640625" bestFit="1" customWidth="1"/>
    <col min="16" max="16" width="17.46484375" bestFit="1" customWidth="1"/>
    <col min="19" max="19" width="17.46484375" bestFit="1" customWidth="1"/>
    <col min="20" max="20" width="14.73046875" bestFit="1" customWidth="1"/>
    <col min="21" max="21" width="4.796875" bestFit="1" customWidth="1"/>
    <col min="22" max="22" width="13.1328125" bestFit="1" customWidth="1"/>
    <col min="23" max="23" width="10.19921875" bestFit="1" customWidth="1"/>
    <col min="24" max="24" width="7.6640625" bestFit="1" customWidth="1"/>
    <col min="25" max="25" width="7.9296875" bestFit="1" customWidth="1"/>
    <col min="26" max="26" width="6.53125" bestFit="1" customWidth="1"/>
    <col min="27" max="27" width="9.33203125" bestFit="1" customWidth="1"/>
    <col min="28" max="28" width="8.06640625" bestFit="1" customWidth="1"/>
    <col min="29" max="29" width="6.9296875" bestFit="1" customWidth="1"/>
    <col min="30" max="30" width="10.06640625" bestFit="1" customWidth="1"/>
    <col min="31" max="31" width="6.73046875" bestFit="1" customWidth="1"/>
    <col min="32" max="32" width="7.33203125" bestFit="1" customWidth="1"/>
    <col min="33" max="33" width="6.59765625" bestFit="1" customWidth="1"/>
    <col min="34" max="35" width="6.1328125" bestFit="1" customWidth="1"/>
    <col min="36" max="36" width="5.1328125" bestFit="1" customWidth="1"/>
    <col min="37" max="37" width="7.265625" bestFit="1" customWidth="1"/>
    <col min="38" max="38" width="6.6640625" bestFit="1" customWidth="1"/>
    <col min="39" max="39" width="4.73046875" bestFit="1" customWidth="1"/>
    <col min="40" max="40" width="5.265625" bestFit="1" customWidth="1"/>
    <col min="41" max="41" width="8.3984375" bestFit="1" customWidth="1"/>
    <col min="42" max="42" width="8.9296875" bestFit="1" customWidth="1"/>
    <col min="43" max="43" width="6.46484375" bestFit="1" customWidth="1"/>
    <col min="44" max="44" width="6.265625" bestFit="1" customWidth="1"/>
    <col min="45" max="45" width="12.9296875" bestFit="1" customWidth="1"/>
    <col min="46" max="46" width="8.1328125" bestFit="1" customWidth="1"/>
    <col min="47" max="47" width="7.265625" bestFit="1" customWidth="1"/>
    <col min="48" max="48" width="5.265625" bestFit="1" customWidth="1"/>
    <col min="49" max="50" width="6.6640625" bestFit="1" customWidth="1"/>
    <col min="51" max="51" width="6.06640625" bestFit="1" customWidth="1"/>
    <col min="52" max="52" width="7" bestFit="1" customWidth="1"/>
    <col min="53" max="53" width="8.1328125" bestFit="1" customWidth="1"/>
    <col min="54" max="54" width="5.9296875" bestFit="1" customWidth="1"/>
    <col min="55" max="55" width="6.3984375" bestFit="1" customWidth="1"/>
    <col min="56" max="56" width="9.59765625" bestFit="1" customWidth="1"/>
    <col min="57" max="57" width="7.53125" bestFit="1" customWidth="1"/>
    <col min="58" max="58" width="6.59765625" bestFit="1" customWidth="1"/>
    <col min="59" max="59" width="4.796875" bestFit="1" customWidth="1"/>
    <col min="60" max="60" width="8.73046875" bestFit="1" customWidth="1"/>
    <col min="61" max="61" width="3.9296875" bestFit="1" customWidth="1"/>
    <col min="62" max="62" width="6.46484375" bestFit="1" customWidth="1"/>
    <col min="63" max="63" width="5.1328125" bestFit="1" customWidth="1"/>
    <col min="64" max="64" width="4.265625" bestFit="1" customWidth="1"/>
    <col min="65" max="65" width="7.06640625" bestFit="1" customWidth="1"/>
    <col min="66" max="66" width="5.3984375" bestFit="1" customWidth="1"/>
    <col min="67" max="67" width="6.19921875" bestFit="1" customWidth="1"/>
    <col min="68" max="68" width="9.9296875" bestFit="1" customWidth="1"/>
    <col min="69" max="69" width="5.73046875" bestFit="1" customWidth="1"/>
    <col min="70" max="70" width="6.73046875" bestFit="1" customWidth="1"/>
    <col min="71" max="71" width="6.3984375" bestFit="1" customWidth="1"/>
    <col min="72" max="72" width="9.53125" bestFit="1" customWidth="1"/>
    <col min="73" max="73" width="5.46484375" bestFit="1" customWidth="1"/>
    <col min="74" max="74" width="7.73046875" bestFit="1" customWidth="1"/>
    <col min="75" max="75" width="11.59765625" bestFit="1" customWidth="1"/>
    <col min="76" max="76" width="8.19921875" bestFit="1" customWidth="1"/>
    <col min="77" max="77" width="10.86328125" bestFit="1" customWidth="1"/>
    <col min="78" max="78" width="7.86328125" bestFit="1" customWidth="1"/>
    <col min="79" max="79" width="8.06640625" bestFit="1" customWidth="1"/>
    <col min="80" max="80" width="5.3984375" bestFit="1" customWidth="1"/>
    <col min="81" max="81" width="6.59765625" bestFit="1" customWidth="1"/>
    <col min="82" max="82" width="7.9296875" bestFit="1" customWidth="1"/>
    <col min="83" max="83" width="7.33203125" bestFit="1" customWidth="1"/>
    <col min="84" max="84" width="10.9296875" bestFit="1" customWidth="1"/>
    <col min="85" max="85" width="7.86328125" bestFit="1" customWidth="1"/>
    <col min="86" max="86" width="5.46484375" bestFit="1" customWidth="1"/>
    <col min="87" max="87" width="10.73046875" bestFit="1" customWidth="1"/>
    <col min="88" max="88" width="11.33203125" bestFit="1" customWidth="1"/>
    <col min="89" max="89" width="6.46484375" bestFit="1" customWidth="1"/>
    <col min="90" max="90" width="15" bestFit="1" customWidth="1"/>
    <col min="91" max="91" width="7.06640625" bestFit="1" customWidth="1"/>
    <col min="92" max="92" width="5.6640625" bestFit="1" customWidth="1"/>
    <col min="93" max="93" width="7.53125" bestFit="1" customWidth="1"/>
    <col min="94" max="94" width="7.19921875" bestFit="1" customWidth="1"/>
    <col min="95" max="95" width="8.1328125" bestFit="1" customWidth="1"/>
    <col min="96" max="96" width="4.46484375" bestFit="1" customWidth="1"/>
    <col min="97" max="97" width="9.6640625" bestFit="1" customWidth="1"/>
    <col min="98" max="98" width="6.33203125" bestFit="1" customWidth="1"/>
    <col min="99" max="99" width="7.53125" bestFit="1" customWidth="1"/>
    <col min="100" max="100" width="5.265625" bestFit="1" customWidth="1"/>
    <col min="101" max="101" width="7.86328125" bestFit="1" customWidth="1"/>
    <col min="102" max="102" width="5.86328125" bestFit="1" customWidth="1"/>
    <col min="103" max="103" width="10" bestFit="1" customWidth="1"/>
    <col min="104" max="104" width="5.796875" bestFit="1" customWidth="1"/>
    <col min="105" max="105" width="8.86328125" bestFit="1" customWidth="1"/>
    <col min="106" max="106" width="7.3984375" bestFit="1" customWidth="1"/>
    <col min="107" max="107" width="7.59765625" bestFit="1" customWidth="1"/>
    <col min="108" max="108" width="10.6640625" bestFit="1" customWidth="1"/>
    <col min="109" max="109" width="10.73046875" bestFit="1" customWidth="1"/>
    <col min="110" max="110" width="5.19921875" bestFit="1" customWidth="1"/>
    <col min="111" max="111" width="7.9296875" bestFit="1" customWidth="1"/>
    <col min="112" max="112" width="7.265625" bestFit="1" customWidth="1"/>
    <col min="113" max="113" width="10.265625" bestFit="1" customWidth="1"/>
    <col min="114" max="114" width="4.6640625" bestFit="1" customWidth="1"/>
    <col min="115" max="115" width="6.53125" bestFit="1" customWidth="1"/>
    <col min="116" max="116" width="8.3984375" bestFit="1" customWidth="1"/>
    <col min="117" max="117" width="7.6640625" bestFit="1" customWidth="1"/>
    <col min="118" max="118" width="7.3984375" bestFit="1" customWidth="1"/>
    <col min="119" max="119" width="6.265625" bestFit="1" customWidth="1"/>
    <col min="120" max="120" width="4.1328125" bestFit="1" customWidth="1"/>
    <col min="121" max="121" width="3.06640625" bestFit="1" customWidth="1"/>
    <col min="122" max="122" width="7.06640625" bestFit="1" customWidth="1"/>
    <col min="123" max="123" width="7.59765625" bestFit="1" customWidth="1"/>
    <col min="124" max="124" width="4.1328125" bestFit="1" customWidth="1"/>
    <col min="125" max="125" width="9.73046875" bestFit="1" customWidth="1"/>
    <col min="126" max="126" width="10.265625" bestFit="1" customWidth="1"/>
    <col min="127" max="127" width="9.19921875" bestFit="1" customWidth="1"/>
    <col min="128" max="128" width="7.59765625" bestFit="1" customWidth="1"/>
    <col min="129" max="129" width="6.3984375" bestFit="1" customWidth="1"/>
    <col min="130" max="130" width="10.19921875" bestFit="1" customWidth="1"/>
  </cols>
  <sheetData>
    <row r="1" spans="1:21" x14ac:dyDescent="0.45">
      <c r="A1" s="1" t="s">
        <v>147</v>
      </c>
      <c r="B1" s="1" t="s">
        <v>146</v>
      </c>
      <c r="K1" s="1" t="s">
        <v>147</v>
      </c>
      <c r="L1" s="1" t="s">
        <v>146</v>
      </c>
    </row>
    <row r="2" spans="1:21" x14ac:dyDescent="0.45">
      <c r="A2" s="1" t="s">
        <v>145</v>
      </c>
      <c r="B2">
        <v>21</v>
      </c>
      <c r="C2">
        <v>22</v>
      </c>
      <c r="D2">
        <v>23</v>
      </c>
      <c r="E2">
        <v>24</v>
      </c>
      <c r="K2" s="1" t="s">
        <v>145</v>
      </c>
      <c r="L2" t="s">
        <v>13</v>
      </c>
      <c r="M2" t="s">
        <v>19</v>
      </c>
      <c r="O2" s="1" t="s">
        <v>145</v>
      </c>
      <c r="P2" t="s">
        <v>147</v>
      </c>
      <c r="S2" s="1" t="s">
        <v>147</v>
      </c>
      <c r="T2" s="1" t="s">
        <v>146</v>
      </c>
    </row>
    <row r="3" spans="1:21" x14ac:dyDescent="0.45">
      <c r="A3" s="2" t="s">
        <v>31</v>
      </c>
      <c r="B3">
        <v>14</v>
      </c>
      <c r="C3">
        <v>13</v>
      </c>
      <c r="D3">
        <v>3</v>
      </c>
      <c r="E3">
        <v>1</v>
      </c>
      <c r="K3" s="2" t="s">
        <v>31</v>
      </c>
      <c r="L3">
        <v>2</v>
      </c>
      <c r="M3">
        <v>29</v>
      </c>
      <c r="O3" s="2" t="s">
        <v>20</v>
      </c>
      <c r="P3">
        <v>325</v>
      </c>
      <c r="S3" s="1" t="s">
        <v>145</v>
      </c>
      <c r="T3" t="s">
        <v>13</v>
      </c>
      <c r="U3" t="s">
        <v>19</v>
      </c>
    </row>
    <row r="4" spans="1:21" x14ac:dyDescent="0.45">
      <c r="A4" s="2" t="s">
        <v>48</v>
      </c>
      <c r="B4">
        <v>9</v>
      </c>
      <c r="C4">
        <v>10</v>
      </c>
      <c r="D4">
        <v>1</v>
      </c>
      <c r="E4">
        <v>1</v>
      </c>
      <c r="K4" s="2" t="s">
        <v>48</v>
      </c>
      <c r="L4">
        <v>1</v>
      </c>
      <c r="M4">
        <v>20</v>
      </c>
      <c r="O4" s="2" t="s">
        <v>28</v>
      </c>
      <c r="P4">
        <v>27</v>
      </c>
      <c r="S4" s="2" t="s">
        <v>31</v>
      </c>
      <c r="T4">
        <v>4</v>
      </c>
      <c r="U4">
        <v>30</v>
      </c>
    </row>
    <row r="5" spans="1:21" x14ac:dyDescent="0.45">
      <c r="A5" s="2" t="s">
        <v>21</v>
      </c>
      <c r="B5">
        <v>17</v>
      </c>
      <c r="C5">
        <v>18</v>
      </c>
      <c r="E5">
        <v>1</v>
      </c>
      <c r="K5" s="2" t="s">
        <v>21</v>
      </c>
      <c r="L5">
        <v>5</v>
      </c>
      <c r="M5">
        <v>31</v>
      </c>
      <c r="O5" s="2" t="s">
        <v>14</v>
      </c>
      <c r="P5">
        <v>353</v>
      </c>
      <c r="S5" s="2" t="s">
        <v>48</v>
      </c>
      <c r="T5">
        <v>4</v>
      </c>
      <c r="U5">
        <v>23</v>
      </c>
    </row>
    <row r="6" spans="1:21" x14ac:dyDescent="0.45">
      <c r="A6" s="2" t="s">
        <v>43</v>
      </c>
      <c r="B6">
        <v>9</v>
      </c>
      <c r="C6">
        <v>12</v>
      </c>
      <c r="E6">
        <v>1</v>
      </c>
      <c r="K6" s="2" t="s">
        <v>43</v>
      </c>
      <c r="L6">
        <v>1</v>
      </c>
      <c r="M6">
        <v>21</v>
      </c>
      <c r="S6" s="2" t="s">
        <v>40</v>
      </c>
      <c r="T6">
        <v>22</v>
      </c>
      <c r="U6">
        <v>5</v>
      </c>
    </row>
    <row r="7" spans="1:21" x14ac:dyDescent="0.45">
      <c r="A7" s="2" t="s">
        <v>65</v>
      </c>
      <c r="B7">
        <v>9</v>
      </c>
      <c r="C7">
        <v>9</v>
      </c>
      <c r="D7">
        <v>2</v>
      </c>
      <c r="E7">
        <v>1</v>
      </c>
      <c r="K7" s="2" t="s">
        <v>65</v>
      </c>
      <c r="L7">
        <v>1</v>
      </c>
      <c r="M7">
        <v>20</v>
      </c>
      <c r="S7" s="2" t="s">
        <v>21</v>
      </c>
      <c r="T7">
        <v>20</v>
      </c>
      <c r="U7">
        <v>33</v>
      </c>
    </row>
    <row r="8" spans="1:21" x14ac:dyDescent="0.45">
      <c r="S8" s="2" t="s">
        <v>55</v>
      </c>
      <c r="T8">
        <v>23</v>
      </c>
      <c r="U8">
        <v>4</v>
      </c>
    </row>
    <row r="9" spans="1:21" x14ac:dyDescent="0.45">
      <c r="S9" s="2" t="s">
        <v>43</v>
      </c>
      <c r="T9">
        <v>5</v>
      </c>
      <c r="U9">
        <v>22</v>
      </c>
    </row>
    <row r="10" spans="1:21" x14ac:dyDescent="0.45">
      <c r="S10" s="2" t="s">
        <v>41</v>
      </c>
      <c r="T10">
        <v>23</v>
      </c>
      <c r="U10">
        <v>4</v>
      </c>
    </row>
    <row r="11" spans="1:21" x14ac:dyDescent="0.45">
      <c r="S11" s="2" t="s">
        <v>51</v>
      </c>
      <c r="T11">
        <v>23</v>
      </c>
      <c r="U11">
        <v>4</v>
      </c>
    </row>
    <row r="12" spans="1:21" x14ac:dyDescent="0.45">
      <c r="S12" s="2" t="s">
        <v>65</v>
      </c>
      <c r="T12">
        <v>5</v>
      </c>
      <c r="U12">
        <v>22</v>
      </c>
    </row>
    <row r="13" spans="1:21" x14ac:dyDescent="0.45">
      <c r="S13" s="2" t="s">
        <v>25</v>
      </c>
      <c r="T13">
        <v>36</v>
      </c>
      <c r="U13">
        <v>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85EE9-0450-4692-AE5C-58E0D5A8A673}">
  <dimension ref="A1:S31"/>
  <sheetViews>
    <sheetView showGridLines="0" topLeftCell="E1" workbookViewId="0">
      <selection activeCell="S28" sqref="A1:S28"/>
    </sheetView>
  </sheetViews>
  <sheetFormatPr defaultRowHeight="14.25" x14ac:dyDescent="0.45"/>
  <sheetData>
    <row r="1" spans="1:19" s="5" customFormat="1" ht="30.4" customHeight="1" thickBot="1" x14ac:dyDescent="0.5">
      <c r="A1" s="7" t="s">
        <v>168</v>
      </c>
      <c r="B1" s="8"/>
      <c r="C1" s="8"/>
      <c r="D1" s="8"/>
      <c r="E1" s="8"/>
      <c r="F1" s="8"/>
      <c r="G1" s="8"/>
      <c r="H1" s="8"/>
      <c r="I1" s="8"/>
      <c r="J1" s="8"/>
      <c r="K1" s="8"/>
      <c r="L1" s="8"/>
      <c r="M1" s="8"/>
      <c r="N1" s="8"/>
      <c r="O1" s="8"/>
      <c r="P1" s="8"/>
      <c r="Q1" s="8"/>
      <c r="R1" s="8"/>
      <c r="S1" s="8"/>
    </row>
    <row r="2" spans="1:19" x14ac:dyDescent="0.45">
      <c r="A2" s="4"/>
      <c r="B2" s="4"/>
      <c r="C2" s="4"/>
      <c r="D2" s="4"/>
      <c r="E2" s="4"/>
      <c r="F2" s="4"/>
      <c r="G2" s="4"/>
      <c r="H2" s="4"/>
      <c r="I2" s="4"/>
      <c r="J2" s="4"/>
      <c r="K2" s="4"/>
      <c r="L2" s="4"/>
      <c r="M2" s="4"/>
      <c r="N2" s="4"/>
      <c r="O2" s="4"/>
      <c r="P2" s="4"/>
      <c r="Q2" s="4"/>
      <c r="R2" s="4"/>
      <c r="S2" s="4"/>
    </row>
    <row r="3" spans="1:19" x14ac:dyDescent="0.45">
      <c r="A3" s="4"/>
      <c r="B3" s="4"/>
      <c r="C3" s="4"/>
      <c r="D3" s="4"/>
      <c r="E3" s="4"/>
      <c r="F3" s="4"/>
      <c r="G3" s="4"/>
      <c r="H3" s="4"/>
      <c r="I3" s="4"/>
      <c r="J3" s="4"/>
      <c r="K3" s="4"/>
      <c r="L3" s="4"/>
      <c r="M3" s="4"/>
      <c r="N3" s="4"/>
      <c r="O3" s="4"/>
      <c r="P3" s="4"/>
      <c r="Q3" s="4"/>
      <c r="R3" s="4"/>
      <c r="S3" s="4"/>
    </row>
    <row r="4" spans="1:19" x14ac:dyDescent="0.45">
      <c r="A4" s="4"/>
      <c r="B4" s="4"/>
      <c r="C4" s="4"/>
      <c r="D4" s="4"/>
      <c r="E4" s="4"/>
      <c r="F4" s="4"/>
      <c r="G4" s="4"/>
      <c r="H4" s="4"/>
      <c r="I4" s="4"/>
      <c r="J4" s="4"/>
      <c r="K4" s="4"/>
      <c r="L4" s="4"/>
      <c r="M4" s="4"/>
      <c r="N4" s="4"/>
      <c r="O4" s="4"/>
      <c r="P4" s="4"/>
      <c r="Q4" s="4"/>
      <c r="R4" s="4"/>
      <c r="S4" s="4"/>
    </row>
    <row r="5" spans="1:19" x14ac:dyDescent="0.45">
      <c r="A5" s="4"/>
      <c r="B5" s="4"/>
      <c r="C5" s="4"/>
      <c r="D5" s="4"/>
      <c r="E5" s="4"/>
      <c r="F5" s="4"/>
      <c r="G5" s="4"/>
      <c r="H5" s="4"/>
      <c r="I5" s="4"/>
      <c r="J5" s="4"/>
      <c r="K5" s="4"/>
      <c r="L5" s="4"/>
      <c r="M5" s="4"/>
      <c r="N5" s="4"/>
      <c r="O5" s="4"/>
      <c r="P5" s="4"/>
      <c r="Q5" s="4"/>
      <c r="R5" s="4"/>
      <c r="S5" s="4"/>
    </row>
    <row r="6" spans="1:19" x14ac:dyDescent="0.45">
      <c r="A6" s="4"/>
      <c r="B6" s="4"/>
      <c r="C6" s="4"/>
      <c r="D6" s="4"/>
      <c r="E6" s="4"/>
      <c r="F6" s="4"/>
      <c r="G6" s="4"/>
      <c r="H6" s="4"/>
      <c r="I6" s="4"/>
      <c r="J6" s="4"/>
      <c r="K6" s="4"/>
      <c r="L6" s="4"/>
      <c r="M6" s="4"/>
      <c r="N6" s="4"/>
      <c r="O6" s="4"/>
      <c r="P6" s="4"/>
      <c r="Q6" s="4"/>
      <c r="R6" s="4"/>
      <c r="S6" s="4"/>
    </row>
    <row r="7" spans="1:19" x14ac:dyDescent="0.45">
      <c r="A7" s="4"/>
      <c r="B7" s="4"/>
      <c r="C7" s="4"/>
      <c r="D7" s="4"/>
      <c r="E7" s="4"/>
      <c r="F7" s="4"/>
      <c r="G7" s="4"/>
      <c r="H7" s="4"/>
      <c r="I7" s="4"/>
      <c r="J7" s="4"/>
      <c r="K7" s="4"/>
      <c r="L7" s="4"/>
      <c r="M7" s="4"/>
      <c r="N7" s="4"/>
      <c r="O7" s="4"/>
      <c r="P7" s="4"/>
      <c r="Q7" s="4"/>
      <c r="R7" s="4"/>
      <c r="S7" s="4"/>
    </row>
    <row r="8" spans="1:19" x14ac:dyDescent="0.45">
      <c r="A8" s="4"/>
      <c r="B8" s="4"/>
      <c r="C8" s="4"/>
      <c r="D8" s="4"/>
      <c r="E8" s="4"/>
      <c r="F8" s="4"/>
      <c r="G8" s="4"/>
      <c r="H8" s="4"/>
      <c r="I8" s="4"/>
      <c r="J8" s="4"/>
      <c r="K8" s="4"/>
      <c r="L8" s="4"/>
      <c r="M8" s="4"/>
      <c r="N8" s="4"/>
      <c r="O8" s="4"/>
      <c r="P8" s="4"/>
      <c r="Q8" s="4"/>
      <c r="R8" s="4"/>
      <c r="S8" s="4"/>
    </row>
    <row r="9" spans="1:19" x14ac:dyDescent="0.45">
      <c r="A9" s="4"/>
      <c r="B9" s="4"/>
      <c r="C9" s="4"/>
      <c r="D9" s="4"/>
      <c r="E9" s="4"/>
      <c r="F9" s="4"/>
      <c r="G9" s="4"/>
      <c r="H9" s="4"/>
      <c r="I9" s="4"/>
      <c r="J9" s="4"/>
      <c r="K9" s="4"/>
      <c r="L9" s="4"/>
      <c r="M9" s="4"/>
      <c r="N9" s="4"/>
      <c r="O9" s="4"/>
      <c r="P9" s="4"/>
      <c r="Q9" s="4"/>
      <c r="R9" s="4"/>
      <c r="S9" s="4"/>
    </row>
    <row r="10" spans="1:19" x14ac:dyDescent="0.45">
      <c r="A10" s="4"/>
      <c r="B10" s="4"/>
      <c r="C10" s="4"/>
      <c r="D10" s="4"/>
      <c r="E10" s="4"/>
      <c r="F10" s="4"/>
      <c r="G10" s="4"/>
      <c r="H10" s="4"/>
      <c r="I10" s="4"/>
      <c r="J10" s="4"/>
      <c r="K10" s="4"/>
      <c r="L10" s="4"/>
      <c r="M10" s="4"/>
      <c r="N10" s="4"/>
      <c r="O10" s="4"/>
      <c r="P10" s="4"/>
      <c r="Q10" s="4"/>
      <c r="R10" s="4"/>
      <c r="S10" s="4"/>
    </row>
    <row r="11" spans="1:19" x14ac:dyDescent="0.45">
      <c r="A11" s="4"/>
      <c r="B11" s="4"/>
      <c r="C11" s="4"/>
      <c r="D11" s="4"/>
      <c r="E11" s="4"/>
      <c r="F11" s="4"/>
      <c r="G11" s="4"/>
      <c r="H11" s="4"/>
      <c r="I11" s="4"/>
      <c r="J11" s="4"/>
      <c r="K11" s="4"/>
      <c r="L11" s="4"/>
      <c r="M11" s="4"/>
      <c r="N11" s="4"/>
      <c r="O11" s="4"/>
      <c r="P11" s="4"/>
      <c r="Q11" s="4"/>
      <c r="R11" s="4"/>
      <c r="S11" s="4"/>
    </row>
    <row r="12" spans="1:19" x14ac:dyDescent="0.45">
      <c r="A12" s="4"/>
      <c r="B12" s="4"/>
      <c r="C12" s="4"/>
      <c r="D12" s="4"/>
      <c r="E12" s="4"/>
      <c r="F12" s="4"/>
      <c r="G12" s="4"/>
      <c r="H12" s="4"/>
      <c r="I12" s="4"/>
      <c r="J12" s="4"/>
      <c r="K12" s="4"/>
      <c r="L12" s="4"/>
      <c r="M12" s="4"/>
      <c r="N12" s="4"/>
      <c r="O12" s="4"/>
      <c r="P12" s="4"/>
      <c r="Q12" s="4"/>
      <c r="R12" s="4"/>
      <c r="S12" s="4"/>
    </row>
    <row r="13" spans="1:19" x14ac:dyDescent="0.45">
      <c r="A13" s="4"/>
      <c r="B13" s="4"/>
      <c r="C13" s="4"/>
      <c r="D13" s="4"/>
      <c r="E13" s="4"/>
      <c r="F13" s="4"/>
      <c r="G13" s="4"/>
      <c r="H13" s="4"/>
      <c r="I13" s="4"/>
      <c r="J13" s="4"/>
      <c r="K13" s="4"/>
      <c r="L13" s="4"/>
      <c r="M13" s="4"/>
      <c r="N13" s="4"/>
      <c r="O13" s="4"/>
      <c r="P13" s="4"/>
      <c r="Q13" s="4"/>
      <c r="R13" s="4"/>
      <c r="S13" s="4"/>
    </row>
    <row r="14" spans="1:19" x14ac:dyDescent="0.45">
      <c r="A14" s="4"/>
      <c r="B14" s="4"/>
      <c r="C14" s="4"/>
      <c r="D14" s="4"/>
      <c r="E14" s="4"/>
      <c r="F14" s="4"/>
      <c r="G14" s="4"/>
      <c r="H14" s="4"/>
      <c r="I14" s="4"/>
      <c r="J14" s="4"/>
      <c r="K14" s="4"/>
      <c r="L14" s="4"/>
      <c r="M14" s="4"/>
      <c r="N14" s="4"/>
      <c r="O14" s="4"/>
      <c r="P14" s="4"/>
      <c r="Q14" s="4"/>
      <c r="R14" s="4"/>
      <c r="S14" s="4"/>
    </row>
    <row r="15" spans="1:19" x14ac:dyDescent="0.45">
      <c r="A15" s="4"/>
      <c r="B15" s="4"/>
      <c r="C15" s="4"/>
      <c r="D15" s="4"/>
      <c r="E15" s="4"/>
      <c r="F15" s="4"/>
      <c r="G15" s="4"/>
      <c r="H15" s="4"/>
      <c r="I15" s="4"/>
      <c r="J15" s="4"/>
      <c r="K15" s="4"/>
      <c r="L15" s="4"/>
      <c r="M15" s="4"/>
      <c r="N15" s="4"/>
      <c r="O15" s="4"/>
      <c r="P15" s="4"/>
      <c r="Q15" s="4"/>
      <c r="R15" s="4"/>
      <c r="S15" s="4"/>
    </row>
    <row r="16" spans="1:19" x14ac:dyDescent="0.45">
      <c r="A16" s="4"/>
      <c r="B16" s="4"/>
      <c r="C16" s="4"/>
      <c r="D16" s="4"/>
      <c r="E16" s="4"/>
      <c r="F16" s="4"/>
      <c r="G16" s="4"/>
      <c r="H16" s="4"/>
      <c r="I16" s="4"/>
      <c r="J16" s="4"/>
      <c r="K16" s="4"/>
      <c r="L16" s="4"/>
      <c r="M16" s="4"/>
      <c r="N16" s="4"/>
      <c r="O16" s="4"/>
      <c r="P16" s="4"/>
      <c r="Q16" s="4"/>
      <c r="R16" s="4"/>
      <c r="S16" s="4"/>
    </row>
    <row r="17" spans="1:19" x14ac:dyDescent="0.45">
      <c r="A17" s="4"/>
      <c r="B17" s="4"/>
      <c r="C17" s="4"/>
      <c r="D17" s="4"/>
      <c r="E17" s="4"/>
      <c r="F17" s="4"/>
      <c r="G17" s="4"/>
      <c r="H17" s="4"/>
      <c r="I17" s="4"/>
      <c r="J17" s="4"/>
      <c r="K17" s="4"/>
      <c r="L17" s="4"/>
      <c r="M17" s="4"/>
      <c r="N17" s="4"/>
      <c r="O17" s="4"/>
      <c r="P17" s="4"/>
      <c r="Q17" s="4"/>
      <c r="R17" s="4"/>
      <c r="S17" s="4"/>
    </row>
    <row r="18" spans="1:19" x14ac:dyDescent="0.45">
      <c r="A18" s="4"/>
      <c r="B18" s="4"/>
      <c r="C18" s="4"/>
      <c r="D18" s="4"/>
      <c r="E18" s="4"/>
      <c r="F18" s="4"/>
      <c r="G18" s="4"/>
      <c r="H18" s="4"/>
      <c r="I18" s="4"/>
      <c r="J18" s="4"/>
      <c r="K18" s="4"/>
      <c r="L18" s="4"/>
      <c r="M18" s="4"/>
      <c r="N18" s="4"/>
      <c r="O18" s="4"/>
      <c r="P18" s="4"/>
      <c r="Q18" s="4"/>
      <c r="R18" s="4"/>
      <c r="S18" s="4"/>
    </row>
    <row r="19" spans="1:19" x14ac:dyDescent="0.45">
      <c r="A19" s="4"/>
      <c r="B19" s="4"/>
      <c r="C19" s="4"/>
      <c r="D19" s="4"/>
      <c r="E19" s="4"/>
      <c r="F19" s="4"/>
      <c r="G19" s="4"/>
      <c r="H19" s="4"/>
      <c r="I19" s="4"/>
      <c r="J19" s="4"/>
      <c r="K19" s="4"/>
      <c r="L19" s="4"/>
      <c r="M19" s="4"/>
      <c r="N19" s="4"/>
      <c r="O19" s="4"/>
      <c r="P19" s="4"/>
      <c r="Q19" s="4"/>
      <c r="R19" s="4"/>
      <c r="S19" s="4"/>
    </row>
    <row r="20" spans="1:19" x14ac:dyDescent="0.45">
      <c r="A20" s="4"/>
      <c r="B20" s="4"/>
      <c r="C20" s="4"/>
      <c r="D20" s="4"/>
      <c r="E20" s="4"/>
      <c r="F20" s="4"/>
      <c r="G20" s="4"/>
      <c r="H20" s="4"/>
      <c r="I20" s="4"/>
      <c r="J20" s="4"/>
      <c r="K20" s="4"/>
      <c r="L20" s="4"/>
      <c r="M20" s="4"/>
      <c r="N20" s="4"/>
      <c r="O20" s="4"/>
      <c r="P20" s="4"/>
      <c r="Q20" s="4"/>
      <c r="R20" s="4"/>
      <c r="S20" s="4"/>
    </row>
    <row r="21" spans="1:19" x14ac:dyDescent="0.45">
      <c r="A21" s="4"/>
      <c r="B21" s="4"/>
      <c r="C21" s="4"/>
      <c r="D21" s="4"/>
      <c r="E21" s="4"/>
      <c r="F21" s="4"/>
      <c r="G21" s="4"/>
      <c r="H21" s="4"/>
      <c r="I21" s="4"/>
      <c r="J21" s="4"/>
      <c r="K21" s="4"/>
      <c r="L21" s="4"/>
      <c r="M21" s="4"/>
      <c r="N21" s="4"/>
      <c r="O21" s="4"/>
      <c r="P21" s="4"/>
      <c r="Q21" s="4"/>
      <c r="R21" s="4"/>
      <c r="S21" s="4"/>
    </row>
    <row r="22" spans="1:19" x14ac:dyDescent="0.45">
      <c r="A22" s="4"/>
      <c r="B22" s="4"/>
      <c r="C22" s="4"/>
      <c r="D22" s="4"/>
      <c r="E22" s="4"/>
      <c r="F22" s="4"/>
      <c r="G22" s="4"/>
      <c r="H22" s="4"/>
      <c r="I22" s="4"/>
      <c r="J22" s="4"/>
      <c r="K22" s="4"/>
      <c r="L22" s="4"/>
      <c r="M22" s="4"/>
      <c r="N22" s="4"/>
      <c r="O22" s="4"/>
      <c r="P22" s="4"/>
      <c r="Q22" s="4"/>
      <c r="R22" s="4"/>
      <c r="S22" s="4"/>
    </row>
    <row r="23" spans="1:19" x14ac:dyDescent="0.45">
      <c r="A23" s="4"/>
      <c r="B23" s="4"/>
      <c r="C23" s="4"/>
      <c r="D23" s="4"/>
      <c r="E23" s="4"/>
      <c r="F23" s="4"/>
      <c r="G23" s="4"/>
      <c r="H23" s="4"/>
      <c r="I23" s="4"/>
      <c r="J23" s="4"/>
      <c r="K23" s="4"/>
      <c r="L23" s="4"/>
      <c r="M23" s="4"/>
      <c r="N23" s="4"/>
      <c r="O23" s="4"/>
      <c r="P23" s="4"/>
      <c r="Q23" s="4"/>
      <c r="R23" s="4"/>
      <c r="S23" s="4"/>
    </row>
    <row r="24" spans="1:19" x14ac:dyDescent="0.45">
      <c r="A24" s="4"/>
      <c r="B24" s="4"/>
      <c r="C24" s="4"/>
      <c r="D24" s="4"/>
      <c r="E24" s="4"/>
      <c r="F24" s="4"/>
      <c r="G24" s="4"/>
      <c r="H24" s="4"/>
      <c r="I24" s="4"/>
      <c r="J24" s="4"/>
      <c r="K24" s="4"/>
      <c r="L24" s="4"/>
      <c r="M24" s="4"/>
      <c r="N24" s="4"/>
      <c r="O24" s="4"/>
      <c r="P24" s="4"/>
      <c r="Q24" s="4"/>
      <c r="R24" s="4"/>
      <c r="S24" s="4"/>
    </row>
    <row r="25" spans="1:19" x14ac:dyDescent="0.45">
      <c r="A25" s="4"/>
      <c r="B25" s="4"/>
      <c r="C25" s="4"/>
      <c r="D25" s="4"/>
      <c r="E25" s="4"/>
      <c r="F25" s="4"/>
      <c r="G25" s="4"/>
      <c r="H25" s="4"/>
      <c r="I25" s="4"/>
      <c r="J25" s="4"/>
      <c r="K25" s="4"/>
      <c r="L25" s="4"/>
      <c r="M25" s="4"/>
      <c r="N25" s="4"/>
      <c r="O25" s="4"/>
      <c r="P25" s="4"/>
      <c r="Q25" s="4"/>
      <c r="R25" s="4"/>
      <c r="S25" s="4"/>
    </row>
    <row r="26" spans="1:19" x14ac:dyDescent="0.45">
      <c r="A26" s="4"/>
      <c r="B26" s="4"/>
      <c r="C26" s="4"/>
      <c r="D26" s="4"/>
      <c r="E26" s="4"/>
      <c r="F26" s="4"/>
      <c r="G26" s="4"/>
      <c r="H26" s="4"/>
      <c r="I26" s="4"/>
      <c r="J26" s="4"/>
      <c r="K26" s="4"/>
      <c r="L26" s="4"/>
      <c r="M26" s="4"/>
      <c r="N26" s="4"/>
      <c r="O26" s="4"/>
      <c r="P26" s="4"/>
      <c r="Q26" s="4"/>
      <c r="R26" s="4"/>
      <c r="S26" s="4"/>
    </row>
    <row r="27" spans="1:19" x14ac:dyDescent="0.45">
      <c r="A27" s="4"/>
      <c r="B27" s="4"/>
      <c r="C27" s="4"/>
      <c r="D27" s="4"/>
      <c r="E27" s="4"/>
      <c r="F27" s="4"/>
      <c r="G27" s="4"/>
      <c r="H27" s="4"/>
      <c r="I27" s="4"/>
      <c r="J27" s="4"/>
      <c r="K27" s="4"/>
      <c r="L27" s="4"/>
      <c r="M27" s="4"/>
      <c r="N27" s="4"/>
      <c r="O27" s="4"/>
      <c r="P27" s="4"/>
      <c r="Q27" s="4"/>
      <c r="R27" s="4"/>
      <c r="S27" s="4"/>
    </row>
    <row r="28" spans="1:19" x14ac:dyDescent="0.45">
      <c r="A28" s="4"/>
      <c r="B28" s="4"/>
      <c r="C28" s="4"/>
      <c r="D28" s="4"/>
      <c r="E28" s="4"/>
      <c r="F28" s="4"/>
      <c r="G28" s="4"/>
      <c r="H28" s="4"/>
      <c r="I28" s="4"/>
      <c r="J28" s="4"/>
      <c r="K28" s="4"/>
      <c r="L28" s="4"/>
      <c r="M28" s="4"/>
      <c r="N28" s="4"/>
      <c r="O28" s="4"/>
      <c r="P28" s="4"/>
      <c r="Q28" s="4"/>
      <c r="R28" s="4"/>
      <c r="S28" s="4"/>
    </row>
    <row r="29" spans="1:19" x14ac:dyDescent="0.45">
      <c r="A29" s="5"/>
      <c r="B29" s="5"/>
      <c r="C29" s="5"/>
      <c r="D29" s="5"/>
      <c r="E29" s="5"/>
      <c r="F29" s="5"/>
      <c r="G29" s="5"/>
      <c r="H29" s="5"/>
      <c r="I29" s="5"/>
      <c r="J29" s="5"/>
      <c r="K29" s="5"/>
      <c r="L29" s="5"/>
      <c r="M29" s="5"/>
      <c r="N29" s="5"/>
      <c r="O29" s="5"/>
      <c r="P29" s="5"/>
      <c r="Q29" s="5"/>
      <c r="R29" s="5"/>
      <c r="S29" s="5"/>
    </row>
    <row r="30" spans="1:19" x14ac:dyDescent="0.45">
      <c r="A30" s="5"/>
      <c r="B30" s="5"/>
      <c r="C30" s="5"/>
      <c r="D30" s="5"/>
      <c r="E30" s="5"/>
      <c r="F30" s="5"/>
      <c r="G30" s="5"/>
      <c r="H30" s="5"/>
      <c r="I30" s="5"/>
      <c r="J30" s="5"/>
      <c r="K30" s="5"/>
      <c r="L30" s="5"/>
      <c r="M30" s="5"/>
      <c r="N30" s="5"/>
      <c r="O30" s="5"/>
      <c r="P30" s="5"/>
      <c r="Q30" s="5"/>
      <c r="R30" s="5"/>
      <c r="S30" s="5"/>
    </row>
    <row r="31" spans="1:19" s="5" customFormat="1" x14ac:dyDescent="0.45"/>
  </sheetData>
  <mergeCells count="1">
    <mergeCell ref="A1:S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601E-3D39-4646-9DE7-2538C6CA7688}">
  <dimension ref="A1:K10"/>
  <sheetViews>
    <sheetView zoomScale="83" zoomScaleNormal="55" workbookViewId="0">
      <selection activeCell="J12" sqref="J12"/>
    </sheetView>
  </sheetViews>
  <sheetFormatPr defaultRowHeight="14.25" x14ac:dyDescent="0.45"/>
  <cols>
    <col min="1" max="1" width="12.46484375" bestFit="1" customWidth="1"/>
    <col min="2" max="2" width="17.46484375" bestFit="1" customWidth="1"/>
    <col min="3" max="3" width="10.796875" bestFit="1" customWidth="1"/>
    <col min="4" max="6" width="12.46484375" bestFit="1" customWidth="1"/>
    <col min="7" max="7" width="29.9296875" bestFit="1" customWidth="1"/>
    <col min="8" max="8" width="6.59765625" bestFit="1" customWidth="1"/>
    <col min="9" max="9" width="14.265625" bestFit="1" customWidth="1"/>
    <col min="10" max="10" width="15.19921875" bestFit="1" customWidth="1"/>
    <col min="11" max="11" width="4.796875" bestFit="1" customWidth="1"/>
    <col min="12" max="14" width="10.19921875" bestFit="1" customWidth="1"/>
    <col min="15" max="15" width="14.265625" bestFit="1" customWidth="1"/>
    <col min="16" max="16" width="14.73046875" bestFit="1" customWidth="1"/>
    <col min="17" max="17" width="7.6640625" bestFit="1" customWidth="1"/>
    <col min="18" max="18" width="10.19921875" bestFit="1" customWidth="1"/>
  </cols>
  <sheetData>
    <row r="1" spans="1:11" x14ac:dyDescent="0.45">
      <c r="A1" s="1" t="s">
        <v>145</v>
      </c>
      <c r="B1" t="s">
        <v>147</v>
      </c>
    </row>
    <row r="2" spans="1:11" x14ac:dyDescent="0.45">
      <c r="A2" s="2" t="s">
        <v>32</v>
      </c>
      <c r="B2">
        <v>1</v>
      </c>
      <c r="I2" s="1" t="s">
        <v>150</v>
      </c>
      <c r="J2" s="1" t="s">
        <v>146</v>
      </c>
    </row>
    <row r="3" spans="1:11" x14ac:dyDescent="0.45">
      <c r="A3" s="2" t="s">
        <v>16</v>
      </c>
      <c r="B3">
        <v>10</v>
      </c>
      <c r="F3" s="1" t="s">
        <v>145</v>
      </c>
      <c r="G3" t="s">
        <v>151</v>
      </c>
      <c r="I3" s="1" t="s">
        <v>145</v>
      </c>
      <c r="J3" t="s">
        <v>13</v>
      </c>
      <c r="K3" t="s">
        <v>19</v>
      </c>
    </row>
    <row r="4" spans="1:11" x14ac:dyDescent="0.45">
      <c r="A4" s="2" t="s">
        <v>35</v>
      </c>
      <c r="B4">
        <v>5</v>
      </c>
      <c r="F4" s="2">
        <v>18</v>
      </c>
      <c r="G4" s="3">
        <v>5.65</v>
      </c>
      <c r="I4" s="2" t="s">
        <v>32</v>
      </c>
      <c r="K4">
        <v>1</v>
      </c>
    </row>
    <row r="5" spans="1:11" x14ac:dyDescent="0.45">
      <c r="A5" s="2" t="s">
        <v>37</v>
      </c>
      <c r="B5">
        <v>4</v>
      </c>
      <c r="F5" s="2">
        <v>19</v>
      </c>
      <c r="G5" s="3">
        <v>5.541666666666667</v>
      </c>
      <c r="I5" s="2" t="s">
        <v>16</v>
      </c>
      <c r="J5">
        <v>8</v>
      </c>
      <c r="K5">
        <v>2</v>
      </c>
    </row>
    <row r="6" spans="1:11" x14ac:dyDescent="0.45">
      <c r="A6" s="2" t="s">
        <v>26</v>
      </c>
      <c r="B6">
        <v>8</v>
      </c>
      <c r="F6" s="2">
        <v>20</v>
      </c>
      <c r="G6" s="3">
        <v>4.7</v>
      </c>
      <c r="I6" s="2" t="s">
        <v>35</v>
      </c>
      <c r="J6">
        <v>2</v>
      </c>
      <c r="K6">
        <v>3</v>
      </c>
    </row>
    <row r="7" spans="1:11" x14ac:dyDescent="0.45">
      <c r="A7" s="2" t="s">
        <v>30</v>
      </c>
      <c r="B7">
        <v>4</v>
      </c>
      <c r="F7" s="2">
        <v>21</v>
      </c>
      <c r="G7" s="3">
        <v>4.2</v>
      </c>
      <c r="I7" s="2" t="s">
        <v>37</v>
      </c>
      <c r="J7">
        <v>3</v>
      </c>
      <c r="K7">
        <v>1</v>
      </c>
    </row>
    <row r="8" spans="1:11" x14ac:dyDescent="0.45">
      <c r="F8" s="2">
        <v>22</v>
      </c>
      <c r="G8" s="3">
        <v>2.8499999999999996</v>
      </c>
      <c r="I8" s="2" t="s">
        <v>26</v>
      </c>
      <c r="J8">
        <v>4</v>
      </c>
      <c r="K8">
        <v>4</v>
      </c>
    </row>
    <row r="9" spans="1:11" x14ac:dyDescent="0.45">
      <c r="F9" s="2">
        <v>23</v>
      </c>
      <c r="G9" s="3">
        <v>2.5499999999999998</v>
      </c>
      <c r="I9" s="2" t="s">
        <v>30</v>
      </c>
      <c r="K9">
        <v>4</v>
      </c>
    </row>
    <row r="10" spans="1:11" x14ac:dyDescent="0.45">
      <c r="F10" s="2">
        <v>24</v>
      </c>
      <c r="G10" s="3">
        <v>2.4</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D872-B79E-416E-9D3F-30EDAFA2EA88}">
  <dimension ref="A1:S32"/>
  <sheetViews>
    <sheetView zoomScale="62" workbookViewId="0">
      <selection activeCell="W15" sqref="W15"/>
    </sheetView>
  </sheetViews>
  <sheetFormatPr defaultRowHeight="14.25" x14ac:dyDescent="0.45"/>
  <sheetData>
    <row r="1" spans="1:19" ht="31.15" thickBot="1" x14ac:dyDescent="0.5">
      <c r="A1" s="7" t="s">
        <v>169</v>
      </c>
      <c r="B1" s="9"/>
      <c r="C1" s="9"/>
      <c r="D1" s="9"/>
      <c r="E1" s="9"/>
      <c r="F1" s="9"/>
      <c r="G1" s="9"/>
      <c r="H1" s="9"/>
      <c r="I1" s="9"/>
      <c r="J1" s="9"/>
      <c r="K1" s="9"/>
      <c r="L1" s="9"/>
      <c r="M1" s="9"/>
      <c r="N1" s="9"/>
      <c r="O1" s="9"/>
      <c r="P1" s="9"/>
      <c r="Q1" s="9"/>
      <c r="R1" s="9"/>
      <c r="S1" s="9"/>
    </row>
    <row r="2" spans="1:19" x14ac:dyDescent="0.45">
      <c r="A2" s="4"/>
      <c r="B2" s="4"/>
      <c r="C2" s="4"/>
      <c r="D2" s="4"/>
      <c r="E2" s="4"/>
      <c r="F2" s="4"/>
      <c r="G2" s="4"/>
      <c r="H2" s="4"/>
      <c r="I2" s="4"/>
      <c r="J2" s="4"/>
      <c r="K2" s="4"/>
      <c r="L2" s="4"/>
      <c r="M2" s="4"/>
      <c r="N2" s="4"/>
      <c r="O2" s="4"/>
      <c r="P2" s="4"/>
      <c r="Q2" s="4"/>
      <c r="R2" s="4"/>
      <c r="S2" s="4"/>
    </row>
    <row r="3" spans="1:19" x14ac:dyDescent="0.45">
      <c r="A3" s="4"/>
      <c r="B3" s="4"/>
      <c r="C3" s="4"/>
      <c r="D3" s="4"/>
      <c r="E3" s="4"/>
      <c r="F3" s="4"/>
      <c r="G3" s="4"/>
      <c r="H3" s="4"/>
      <c r="I3" s="4"/>
      <c r="J3" s="4"/>
      <c r="K3" s="4"/>
      <c r="L3" s="4"/>
      <c r="M3" s="4"/>
      <c r="N3" s="4"/>
      <c r="O3" s="4"/>
      <c r="P3" s="4"/>
      <c r="Q3" s="4"/>
      <c r="R3" s="4"/>
      <c r="S3" s="4"/>
    </row>
    <row r="4" spans="1:19" x14ac:dyDescent="0.45">
      <c r="A4" s="4"/>
      <c r="B4" s="4"/>
      <c r="C4" s="4"/>
      <c r="D4" s="4"/>
      <c r="E4" s="4"/>
      <c r="F4" s="4"/>
      <c r="G4" s="4"/>
      <c r="H4" s="4"/>
      <c r="I4" s="4"/>
      <c r="J4" s="4"/>
      <c r="K4" s="4"/>
      <c r="L4" s="4"/>
      <c r="M4" s="4"/>
      <c r="N4" s="4"/>
      <c r="O4" s="4"/>
      <c r="P4" s="4"/>
      <c r="Q4" s="4"/>
      <c r="R4" s="4"/>
      <c r="S4" s="4"/>
    </row>
    <row r="5" spans="1:19" x14ac:dyDescent="0.45">
      <c r="A5" s="4"/>
      <c r="B5" s="4"/>
      <c r="C5" s="4"/>
      <c r="D5" s="4"/>
      <c r="E5" s="4"/>
      <c r="F5" s="4"/>
      <c r="G5" s="4"/>
      <c r="H5" s="4"/>
      <c r="I5" s="4"/>
      <c r="J5" s="4"/>
      <c r="K5" s="4"/>
      <c r="L5" s="4"/>
      <c r="M5" s="4"/>
      <c r="N5" s="4"/>
      <c r="O5" s="4"/>
      <c r="P5" s="4"/>
      <c r="Q5" s="4"/>
      <c r="R5" s="4"/>
      <c r="S5" s="4"/>
    </row>
    <row r="6" spans="1:19" x14ac:dyDescent="0.45">
      <c r="A6" s="4"/>
      <c r="B6" s="4"/>
      <c r="C6" s="4"/>
      <c r="D6" s="4"/>
      <c r="E6" s="4"/>
      <c r="F6" s="4"/>
      <c r="G6" s="4"/>
      <c r="H6" s="4"/>
      <c r="I6" s="4"/>
      <c r="J6" s="4"/>
      <c r="K6" s="4"/>
      <c r="L6" s="4"/>
      <c r="M6" s="4"/>
      <c r="N6" s="4"/>
      <c r="O6" s="4"/>
      <c r="P6" s="4"/>
      <c r="Q6" s="4"/>
      <c r="R6" s="4"/>
      <c r="S6" s="4"/>
    </row>
    <row r="7" spans="1:19" x14ac:dyDescent="0.45">
      <c r="A7" s="4"/>
      <c r="B7" s="4"/>
      <c r="C7" s="4"/>
      <c r="D7" s="4"/>
      <c r="E7" s="4"/>
      <c r="F7" s="4"/>
      <c r="G7" s="4"/>
      <c r="H7" s="4"/>
      <c r="I7" s="4"/>
      <c r="J7" s="4"/>
      <c r="K7" s="4"/>
      <c r="L7" s="4"/>
      <c r="M7" s="4"/>
      <c r="N7" s="4"/>
      <c r="O7" s="4"/>
      <c r="P7" s="4"/>
      <c r="Q7" s="4"/>
      <c r="R7" s="4"/>
      <c r="S7" s="4"/>
    </row>
    <row r="8" spans="1:19" x14ac:dyDescent="0.45">
      <c r="A8" s="4"/>
      <c r="B8" s="4"/>
      <c r="C8" s="4"/>
      <c r="D8" s="4"/>
      <c r="E8" s="4"/>
      <c r="F8" s="4"/>
      <c r="G8" s="4"/>
      <c r="H8" s="4"/>
      <c r="I8" s="4"/>
      <c r="J8" s="4"/>
      <c r="K8" s="4"/>
      <c r="L8" s="4"/>
      <c r="M8" s="4"/>
      <c r="N8" s="4"/>
      <c r="O8" s="4"/>
      <c r="P8" s="4"/>
      <c r="Q8" s="4"/>
      <c r="R8" s="4"/>
      <c r="S8" s="4"/>
    </row>
    <row r="9" spans="1:19" x14ac:dyDescent="0.45">
      <c r="A9" s="4"/>
      <c r="B9" s="4"/>
      <c r="C9" s="4"/>
      <c r="D9" s="4"/>
      <c r="E9" s="4"/>
      <c r="F9" s="4"/>
      <c r="G9" s="4"/>
      <c r="H9" s="4"/>
      <c r="I9" s="4"/>
      <c r="J9" s="4"/>
      <c r="K9" s="4"/>
      <c r="L9" s="4"/>
      <c r="M9" s="4"/>
      <c r="N9" s="4"/>
      <c r="O9" s="4"/>
      <c r="P9" s="4"/>
      <c r="Q9" s="4"/>
      <c r="R9" s="4"/>
      <c r="S9" s="4"/>
    </row>
    <row r="10" spans="1:19" x14ac:dyDescent="0.45">
      <c r="A10" s="4"/>
      <c r="B10" s="4"/>
      <c r="C10" s="4"/>
      <c r="D10" s="4"/>
      <c r="E10" s="4"/>
      <c r="F10" s="4"/>
      <c r="G10" s="4"/>
      <c r="H10" s="4"/>
      <c r="I10" s="4"/>
      <c r="J10" s="4"/>
      <c r="K10" s="4"/>
      <c r="L10" s="4"/>
      <c r="M10" s="4"/>
      <c r="N10" s="4"/>
      <c r="O10" s="4"/>
      <c r="P10" s="4"/>
      <c r="Q10" s="4"/>
      <c r="R10" s="4"/>
      <c r="S10" s="4"/>
    </row>
    <row r="11" spans="1:19" x14ac:dyDescent="0.45">
      <c r="A11" s="4"/>
      <c r="B11" s="4"/>
      <c r="C11" s="4"/>
      <c r="D11" s="4"/>
      <c r="E11" s="4"/>
      <c r="F11" s="4"/>
      <c r="G11" s="4"/>
      <c r="H11" s="4"/>
      <c r="I11" s="4"/>
      <c r="J11" s="4"/>
      <c r="K11" s="4"/>
      <c r="L11" s="4"/>
      <c r="M11" s="4"/>
      <c r="N11" s="4"/>
      <c r="O11" s="4"/>
      <c r="P11" s="4"/>
      <c r="Q11" s="4"/>
      <c r="R11" s="4"/>
      <c r="S11" s="4"/>
    </row>
    <row r="12" spans="1:19" x14ac:dyDescent="0.45">
      <c r="A12" s="4"/>
      <c r="B12" s="4"/>
      <c r="C12" s="4"/>
      <c r="D12" s="4"/>
      <c r="E12" s="4"/>
      <c r="F12" s="4"/>
      <c r="G12" s="4"/>
      <c r="H12" s="4"/>
      <c r="I12" s="4"/>
      <c r="J12" s="4"/>
      <c r="K12" s="4"/>
      <c r="L12" s="4"/>
      <c r="M12" s="4"/>
      <c r="N12" s="4"/>
      <c r="O12" s="4"/>
      <c r="P12" s="4"/>
      <c r="Q12" s="4"/>
      <c r="R12" s="4"/>
      <c r="S12" s="4"/>
    </row>
    <row r="13" spans="1:19" x14ac:dyDescent="0.45">
      <c r="A13" s="4"/>
      <c r="B13" s="4"/>
      <c r="C13" s="4"/>
      <c r="D13" s="4"/>
      <c r="E13" s="4"/>
      <c r="F13" s="4"/>
      <c r="G13" s="4"/>
      <c r="H13" s="4"/>
      <c r="I13" s="4"/>
      <c r="J13" s="4"/>
      <c r="K13" s="4"/>
      <c r="L13" s="4"/>
      <c r="M13" s="4"/>
      <c r="N13" s="4"/>
      <c r="O13" s="4"/>
      <c r="P13" s="4"/>
      <c r="Q13" s="4"/>
      <c r="R13" s="4"/>
      <c r="S13" s="4"/>
    </row>
    <row r="14" spans="1:19" x14ac:dyDescent="0.45">
      <c r="A14" s="4"/>
      <c r="B14" s="4"/>
      <c r="C14" s="4"/>
      <c r="D14" s="4"/>
      <c r="E14" s="4"/>
      <c r="F14" s="4"/>
      <c r="G14" s="4"/>
      <c r="H14" s="4"/>
      <c r="I14" s="4"/>
      <c r="J14" s="4"/>
      <c r="K14" s="4"/>
      <c r="L14" s="4"/>
      <c r="M14" s="4"/>
      <c r="N14" s="4"/>
      <c r="O14" s="4"/>
      <c r="P14" s="4"/>
      <c r="Q14" s="4"/>
      <c r="R14" s="4"/>
      <c r="S14" s="4"/>
    </row>
    <row r="15" spans="1:19" x14ac:dyDescent="0.45">
      <c r="A15" s="4"/>
      <c r="B15" s="4"/>
      <c r="C15" s="4"/>
      <c r="D15" s="4"/>
      <c r="E15" s="4"/>
      <c r="F15" s="4"/>
      <c r="G15" s="4"/>
      <c r="H15" s="4"/>
      <c r="I15" s="4"/>
      <c r="J15" s="4"/>
      <c r="K15" s="4"/>
      <c r="L15" s="4"/>
      <c r="M15" s="4"/>
      <c r="N15" s="4"/>
      <c r="O15" s="4"/>
      <c r="P15" s="4"/>
      <c r="Q15" s="4"/>
      <c r="R15" s="4"/>
      <c r="S15" s="4"/>
    </row>
    <row r="16" spans="1:19" x14ac:dyDescent="0.45">
      <c r="A16" s="4"/>
      <c r="B16" s="4"/>
      <c r="C16" s="4"/>
      <c r="D16" s="4"/>
      <c r="E16" s="4"/>
      <c r="F16" s="4"/>
      <c r="G16" s="4"/>
      <c r="H16" s="4"/>
      <c r="I16" s="4"/>
      <c r="J16" s="4"/>
      <c r="K16" s="4"/>
      <c r="L16" s="4"/>
      <c r="M16" s="4"/>
      <c r="N16" s="4"/>
      <c r="O16" s="4"/>
      <c r="P16" s="4"/>
      <c r="Q16" s="4"/>
      <c r="R16" s="4"/>
      <c r="S16" s="4"/>
    </row>
    <row r="17" spans="1:19" x14ac:dyDescent="0.45">
      <c r="A17" s="4"/>
      <c r="B17" s="4"/>
      <c r="C17" s="4"/>
      <c r="D17" s="4"/>
      <c r="E17" s="4"/>
      <c r="F17" s="4"/>
      <c r="G17" s="4"/>
      <c r="H17" s="4"/>
      <c r="I17" s="4"/>
      <c r="J17" s="4"/>
      <c r="K17" s="4"/>
      <c r="L17" s="4"/>
      <c r="M17" s="4"/>
      <c r="N17" s="4"/>
      <c r="O17" s="4"/>
      <c r="P17" s="4"/>
      <c r="Q17" s="4"/>
      <c r="R17" s="4"/>
      <c r="S17" s="4"/>
    </row>
    <row r="18" spans="1:19" x14ac:dyDescent="0.45">
      <c r="A18" s="4"/>
      <c r="B18" s="4"/>
      <c r="C18" s="4"/>
      <c r="D18" s="4"/>
      <c r="E18" s="4"/>
      <c r="F18" s="4"/>
      <c r="G18" s="4"/>
      <c r="H18" s="4"/>
      <c r="I18" s="4"/>
      <c r="J18" s="4"/>
      <c r="K18" s="4"/>
      <c r="L18" s="4"/>
      <c r="M18" s="4"/>
      <c r="N18" s="4"/>
      <c r="O18" s="4"/>
      <c r="P18" s="4"/>
      <c r="Q18" s="4"/>
      <c r="R18" s="4"/>
      <c r="S18" s="4"/>
    </row>
    <row r="19" spans="1:19" x14ac:dyDescent="0.45">
      <c r="A19" s="4"/>
      <c r="B19" s="4"/>
      <c r="C19" s="4"/>
      <c r="D19" s="4"/>
      <c r="E19" s="4"/>
      <c r="F19" s="4"/>
      <c r="G19" s="4"/>
      <c r="H19" s="4"/>
      <c r="I19" s="4"/>
      <c r="J19" s="4"/>
      <c r="K19" s="4"/>
      <c r="L19" s="4"/>
      <c r="M19" s="4"/>
      <c r="N19" s="4"/>
      <c r="O19" s="4"/>
      <c r="P19" s="4"/>
      <c r="Q19" s="4"/>
      <c r="R19" s="4"/>
      <c r="S19" s="4"/>
    </row>
    <row r="20" spans="1:19" x14ac:dyDescent="0.45">
      <c r="A20" s="4"/>
      <c r="B20" s="4"/>
      <c r="C20" s="4"/>
      <c r="D20" s="4"/>
      <c r="E20" s="4"/>
      <c r="F20" s="4"/>
      <c r="G20" s="4"/>
      <c r="H20" s="4"/>
      <c r="I20" s="4"/>
      <c r="J20" s="4"/>
      <c r="K20" s="4"/>
      <c r="L20" s="4"/>
      <c r="M20" s="4"/>
      <c r="N20" s="4"/>
      <c r="O20" s="4"/>
      <c r="P20" s="4"/>
      <c r="Q20" s="4"/>
      <c r="R20" s="4"/>
      <c r="S20" s="4"/>
    </row>
    <row r="21" spans="1:19" x14ac:dyDescent="0.45">
      <c r="A21" s="4"/>
      <c r="B21" s="4"/>
      <c r="C21" s="4"/>
      <c r="D21" s="4"/>
      <c r="E21" s="4"/>
      <c r="F21" s="4"/>
      <c r="G21" s="4"/>
      <c r="H21" s="4"/>
      <c r="I21" s="4"/>
      <c r="J21" s="4"/>
      <c r="K21" s="4"/>
      <c r="L21" s="4"/>
      <c r="M21" s="4"/>
      <c r="N21" s="4"/>
      <c r="O21" s="4"/>
      <c r="P21" s="4"/>
      <c r="Q21" s="4"/>
      <c r="R21" s="4"/>
      <c r="S21" s="4"/>
    </row>
    <row r="22" spans="1:19" x14ac:dyDescent="0.45">
      <c r="A22" s="4"/>
      <c r="B22" s="4"/>
      <c r="C22" s="4"/>
      <c r="D22" s="4"/>
      <c r="E22" s="4"/>
      <c r="F22" s="4"/>
      <c r="G22" s="4"/>
      <c r="H22" s="4"/>
      <c r="I22" s="4"/>
      <c r="J22" s="4"/>
      <c r="K22" s="4"/>
      <c r="L22" s="4"/>
      <c r="M22" s="4"/>
      <c r="N22" s="4"/>
      <c r="O22" s="4"/>
      <c r="P22" s="4"/>
      <c r="Q22" s="4"/>
      <c r="R22" s="4"/>
      <c r="S22" s="4"/>
    </row>
    <row r="23" spans="1:19" x14ac:dyDescent="0.45">
      <c r="A23" s="4"/>
      <c r="B23" s="4"/>
      <c r="C23" s="4"/>
      <c r="D23" s="4"/>
      <c r="E23" s="4"/>
      <c r="F23" s="4"/>
      <c r="G23" s="4"/>
      <c r="H23" s="4"/>
      <c r="I23" s="4"/>
      <c r="J23" s="4"/>
      <c r="K23" s="4"/>
      <c r="L23" s="4"/>
      <c r="M23" s="4"/>
      <c r="N23" s="4"/>
      <c r="O23" s="4"/>
      <c r="P23" s="4"/>
      <c r="Q23" s="4"/>
      <c r="R23" s="4"/>
      <c r="S23" s="4"/>
    </row>
    <row r="24" spans="1:19" x14ac:dyDescent="0.45">
      <c r="A24" s="4"/>
      <c r="B24" s="4"/>
      <c r="C24" s="4"/>
      <c r="D24" s="4"/>
      <c r="E24" s="4"/>
      <c r="F24" s="4"/>
      <c r="G24" s="4"/>
      <c r="H24" s="4"/>
      <c r="I24" s="4"/>
      <c r="J24" s="4"/>
      <c r="K24" s="4"/>
      <c r="L24" s="4"/>
      <c r="M24" s="4"/>
      <c r="N24" s="4"/>
      <c r="O24" s="4"/>
      <c r="P24" s="4"/>
      <c r="Q24" s="4"/>
      <c r="R24" s="4"/>
      <c r="S24" s="4"/>
    </row>
    <row r="25" spans="1:19" x14ac:dyDescent="0.45">
      <c r="A25" s="4"/>
      <c r="B25" s="4"/>
      <c r="C25" s="4"/>
      <c r="D25" s="4"/>
      <c r="E25" s="4"/>
      <c r="F25" s="4"/>
      <c r="G25" s="4"/>
      <c r="H25" s="4"/>
      <c r="I25" s="4"/>
      <c r="J25" s="4"/>
      <c r="K25" s="4"/>
      <c r="L25" s="4"/>
      <c r="M25" s="4"/>
      <c r="N25" s="4"/>
      <c r="O25" s="4"/>
      <c r="P25" s="4"/>
      <c r="Q25" s="4"/>
      <c r="R25" s="4"/>
      <c r="S25" s="4"/>
    </row>
    <row r="26" spans="1:19" x14ac:dyDescent="0.45">
      <c r="A26" s="4"/>
      <c r="B26" s="4"/>
      <c r="C26" s="4"/>
      <c r="D26" s="4"/>
      <c r="E26" s="4"/>
      <c r="F26" s="4"/>
      <c r="G26" s="4"/>
      <c r="H26" s="4"/>
      <c r="I26" s="4"/>
      <c r="J26" s="4"/>
      <c r="K26" s="4"/>
      <c r="L26" s="4"/>
      <c r="M26" s="4"/>
      <c r="N26" s="4"/>
      <c r="O26" s="4"/>
      <c r="P26" s="4"/>
      <c r="Q26" s="4"/>
      <c r="R26" s="4"/>
      <c r="S26" s="4"/>
    </row>
    <row r="27" spans="1:19" x14ac:dyDescent="0.45">
      <c r="A27" s="4"/>
      <c r="B27" s="4"/>
      <c r="C27" s="4"/>
      <c r="D27" s="4"/>
      <c r="E27" s="4"/>
      <c r="F27" s="4"/>
      <c r="G27" s="4"/>
      <c r="H27" s="4"/>
      <c r="I27" s="4"/>
      <c r="J27" s="4"/>
      <c r="K27" s="4"/>
      <c r="L27" s="4"/>
      <c r="M27" s="4"/>
      <c r="N27" s="4"/>
      <c r="O27" s="4"/>
      <c r="P27" s="4"/>
      <c r="Q27" s="4"/>
      <c r="R27" s="4"/>
      <c r="S27" s="4"/>
    </row>
    <row r="28" spans="1:19" x14ac:dyDescent="0.45">
      <c r="A28" s="4"/>
      <c r="B28" s="4"/>
      <c r="C28" s="4"/>
      <c r="D28" s="4"/>
      <c r="E28" s="4"/>
      <c r="F28" s="4"/>
      <c r="G28" s="4"/>
      <c r="H28" s="4"/>
      <c r="I28" s="4"/>
      <c r="J28" s="4"/>
      <c r="K28" s="4"/>
      <c r="L28" s="4"/>
      <c r="M28" s="4"/>
      <c r="N28" s="4"/>
      <c r="O28" s="4"/>
      <c r="P28" s="4"/>
      <c r="Q28" s="4"/>
      <c r="R28" s="4"/>
      <c r="S28" s="4"/>
    </row>
    <row r="29" spans="1:19" x14ac:dyDescent="0.45">
      <c r="A29" s="4"/>
      <c r="B29" s="4"/>
      <c r="C29" s="4"/>
      <c r="D29" s="4"/>
      <c r="E29" s="4"/>
      <c r="F29" s="4"/>
      <c r="G29" s="4"/>
      <c r="H29" s="4"/>
      <c r="I29" s="4"/>
      <c r="J29" s="4"/>
      <c r="K29" s="4"/>
      <c r="L29" s="4"/>
      <c r="M29" s="4"/>
      <c r="N29" s="4"/>
      <c r="O29" s="4"/>
      <c r="P29" s="4"/>
      <c r="Q29" s="4"/>
      <c r="R29" s="4"/>
      <c r="S29" s="4"/>
    </row>
    <row r="30" spans="1:19" x14ac:dyDescent="0.45">
      <c r="A30" s="4"/>
      <c r="B30" s="4"/>
      <c r="C30" s="4"/>
      <c r="D30" s="4"/>
      <c r="E30" s="4"/>
      <c r="F30" s="4"/>
      <c r="G30" s="4"/>
      <c r="H30" s="4"/>
      <c r="I30" s="4"/>
      <c r="J30" s="4"/>
      <c r="K30" s="4"/>
      <c r="L30" s="4"/>
      <c r="M30" s="4"/>
      <c r="N30" s="4"/>
      <c r="O30" s="4"/>
      <c r="P30" s="4"/>
      <c r="Q30" s="4"/>
      <c r="R30" s="4"/>
      <c r="S30" s="4"/>
    </row>
    <row r="31" spans="1:19" x14ac:dyDescent="0.45">
      <c r="A31" s="4"/>
      <c r="B31" s="4"/>
      <c r="C31" s="4"/>
      <c r="D31" s="4"/>
      <c r="E31" s="4"/>
      <c r="F31" s="4"/>
      <c r="G31" s="4"/>
      <c r="H31" s="4"/>
      <c r="I31" s="4"/>
      <c r="J31" s="4"/>
      <c r="K31" s="4"/>
      <c r="L31" s="4"/>
      <c r="M31" s="4"/>
      <c r="N31" s="4"/>
      <c r="O31" s="4"/>
      <c r="P31" s="4"/>
      <c r="Q31" s="4"/>
      <c r="R31" s="4"/>
      <c r="S31" s="4"/>
    </row>
    <row r="32" spans="1:19" x14ac:dyDescent="0.45">
      <c r="A32" s="4"/>
      <c r="B32" s="4"/>
      <c r="C32" s="4"/>
      <c r="D32" s="4"/>
      <c r="E32" s="4"/>
      <c r="F32" s="4"/>
      <c r="G32" s="4"/>
      <c r="H32" s="4"/>
      <c r="I32" s="4"/>
      <c r="J32" s="4"/>
      <c r="K32" s="4"/>
      <c r="L32" s="4"/>
      <c r="M32" s="4"/>
      <c r="N32" s="4"/>
      <c r="O32" s="4"/>
      <c r="P32" s="4"/>
      <c r="Q32" s="4"/>
      <c r="R32" s="4"/>
      <c r="S32" s="4"/>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6E75-0F7C-448F-B5ED-B3AD800056CE}">
  <dimension ref="A1:M7"/>
  <sheetViews>
    <sheetView tabSelected="1" zoomScale="74" workbookViewId="0">
      <selection activeCell="H33" sqref="H33"/>
    </sheetView>
  </sheetViews>
  <sheetFormatPr defaultRowHeight="14.25" x14ac:dyDescent="0.45"/>
  <cols>
    <col min="1" max="1" width="35.3984375" bestFit="1" customWidth="1"/>
    <col min="2" max="2" width="15.796875" bestFit="1" customWidth="1"/>
    <col min="3" max="3" width="3.59765625" bestFit="1" customWidth="1"/>
    <col min="4" max="4" width="10.59765625" bestFit="1" customWidth="1"/>
    <col min="6" max="6" width="15.73046875" customWidth="1"/>
    <col min="7" max="7" width="35.3984375" bestFit="1" customWidth="1"/>
    <col min="8" max="8" width="15.796875" bestFit="1" customWidth="1"/>
    <col min="9" max="9" width="3.73046875" bestFit="1" customWidth="1"/>
    <col min="12" max="12" width="12.9296875" bestFit="1" customWidth="1"/>
    <col min="13" max="13" width="21.796875" bestFit="1" customWidth="1"/>
    <col min="14" max="14" width="4.19921875" bestFit="1" customWidth="1"/>
    <col min="15" max="15" width="7.73046875" bestFit="1" customWidth="1"/>
  </cols>
  <sheetData>
    <row r="1" spans="1:13" x14ac:dyDescent="0.45">
      <c r="A1" s="1" t="s">
        <v>149</v>
      </c>
      <c r="B1" s="1" t="s">
        <v>146</v>
      </c>
      <c r="G1" s="1" t="s">
        <v>149</v>
      </c>
      <c r="H1" s="1" t="s">
        <v>146</v>
      </c>
    </row>
    <row r="2" spans="1:13" x14ac:dyDescent="0.45">
      <c r="A2" s="1" t="s">
        <v>145</v>
      </c>
      <c r="B2" t="s">
        <v>23</v>
      </c>
      <c r="C2" t="s">
        <v>17</v>
      </c>
      <c r="G2" s="1" t="s">
        <v>145</v>
      </c>
      <c r="H2" t="s">
        <v>23</v>
      </c>
      <c r="I2" t="s">
        <v>17</v>
      </c>
      <c r="L2" s="1" t="s">
        <v>145</v>
      </c>
      <c r="M2" t="s">
        <v>152</v>
      </c>
    </row>
    <row r="3" spans="1:13" x14ac:dyDescent="0.45">
      <c r="A3" s="2">
        <v>4.4000000000000004</v>
      </c>
      <c r="B3">
        <v>15</v>
      </c>
      <c r="C3">
        <v>12</v>
      </c>
      <c r="G3" s="2" t="s">
        <v>20</v>
      </c>
      <c r="H3">
        <v>126</v>
      </c>
      <c r="I3">
        <v>199</v>
      </c>
      <c r="L3" s="2">
        <v>4.4000000000000004</v>
      </c>
      <c r="M3">
        <v>27</v>
      </c>
    </row>
    <row r="4" spans="1:13" x14ac:dyDescent="0.45">
      <c r="A4" s="2">
        <v>4.5</v>
      </c>
      <c r="B4">
        <v>15</v>
      </c>
      <c r="C4">
        <v>15</v>
      </c>
      <c r="G4" s="2" t="s">
        <v>28</v>
      </c>
      <c r="H4">
        <v>2</v>
      </c>
      <c r="I4">
        <v>25</v>
      </c>
      <c r="L4" s="2">
        <v>4.5</v>
      </c>
      <c r="M4">
        <v>30</v>
      </c>
    </row>
    <row r="5" spans="1:13" x14ac:dyDescent="0.45">
      <c r="A5" s="2">
        <v>4.5999999999999996</v>
      </c>
      <c r="B5">
        <v>11</v>
      </c>
      <c r="C5">
        <v>17</v>
      </c>
      <c r="G5" s="2" t="s">
        <v>14</v>
      </c>
      <c r="H5">
        <v>124</v>
      </c>
      <c r="I5">
        <v>229</v>
      </c>
      <c r="L5" s="2">
        <v>4.5999999999999996</v>
      </c>
      <c r="M5">
        <v>28</v>
      </c>
    </row>
    <row r="6" spans="1:13" x14ac:dyDescent="0.45">
      <c r="A6" s="2">
        <v>4.7</v>
      </c>
      <c r="B6">
        <v>12</v>
      </c>
      <c r="C6">
        <v>19</v>
      </c>
      <c r="L6" s="2">
        <v>4.7</v>
      </c>
      <c r="M6">
        <v>31</v>
      </c>
    </row>
    <row r="7" spans="1:13" x14ac:dyDescent="0.45">
      <c r="A7" s="2">
        <v>4.8</v>
      </c>
      <c r="B7">
        <v>12</v>
      </c>
      <c r="C7">
        <v>17</v>
      </c>
      <c r="L7" s="2">
        <v>4.8</v>
      </c>
      <c r="M7">
        <v>29</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E8AE-4590-429A-B5F6-FED09CA3805B}">
  <dimension ref="A1:U32"/>
  <sheetViews>
    <sheetView zoomScale="65" workbookViewId="0">
      <selection sqref="A1:U32"/>
    </sheetView>
  </sheetViews>
  <sheetFormatPr defaultRowHeight="14.25" x14ac:dyDescent="0.45"/>
  <sheetData>
    <row r="1" spans="1:21" ht="30.75" x14ac:dyDescent="0.9">
      <c r="A1" s="10" t="s">
        <v>170</v>
      </c>
      <c r="B1" s="11"/>
      <c r="C1" s="11"/>
      <c r="D1" s="11"/>
      <c r="E1" s="11"/>
      <c r="F1" s="11"/>
      <c r="G1" s="11"/>
      <c r="H1" s="11"/>
      <c r="I1" s="11"/>
      <c r="J1" s="11"/>
      <c r="K1" s="11"/>
      <c r="L1" s="11"/>
      <c r="M1" s="11"/>
      <c r="N1" s="11"/>
      <c r="O1" s="11"/>
      <c r="P1" s="11"/>
      <c r="Q1" s="11"/>
      <c r="R1" s="11"/>
      <c r="S1" s="11"/>
      <c r="T1" s="11"/>
      <c r="U1" s="11"/>
    </row>
    <row r="2" spans="1:21" x14ac:dyDescent="0.45">
      <c r="A2" s="4"/>
      <c r="B2" s="4"/>
      <c r="C2" s="4"/>
      <c r="D2" s="4"/>
      <c r="E2" s="4"/>
      <c r="F2" s="4"/>
      <c r="G2" s="4"/>
      <c r="H2" s="4"/>
      <c r="I2" s="4"/>
      <c r="J2" s="4"/>
      <c r="K2" s="4"/>
      <c r="L2" s="4"/>
      <c r="M2" s="4"/>
      <c r="N2" s="4"/>
      <c r="O2" s="4"/>
      <c r="P2" s="4"/>
      <c r="Q2" s="4"/>
      <c r="R2" s="4"/>
      <c r="S2" s="4"/>
      <c r="T2" s="4"/>
      <c r="U2" s="4"/>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ht="15.75" x14ac:dyDescent="0.5">
      <c r="A8" s="4"/>
      <c r="B8" s="4"/>
      <c r="C8" s="4"/>
      <c r="D8" s="4"/>
      <c r="E8" s="4"/>
      <c r="F8" s="4"/>
      <c r="G8" s="4"/>
      <c r="H8" s="4"/>
      <c r="I8" s="4"/>
      <c r="J8" s="4"/>
      <c r="K8" s="4"/>
      <c r="L8" s="4"/>
      <c r="M8" s="4"/>
      <c r="N8" s="4"/>
      <c r="O8" s="4"/>
      <c r="P8" s="4"/>
      <c r="Q8" s="4"/>
      <c r="R8" s="4"/>
      <c r="S8" s="4"/>
      <c r="T8" s="4"/>
      <c r="U8" s="6"/>
    </row>
    <row r="9" spans="1:2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4"/>
      <c r="T10" s="4"/>
      <c r="U10" s="4"/>
    </row>
    <row r="11" spans="1:21" x14ac:dyDescent="0.45">
      <c r="A11" s="4"/>
      <c r="B11" s="4"/>
      <c r="C11" s="4"/>
      <c r="D11" s="4"/>
      <c r="E11" s="4"/>
      <c r="F11" s="4"/>
      <c r="G11" s="4"/>
      <c r="H11" s="4"/>
      <c r="I11" s="4"/>
      <c r="J11" s="4"/>
      <c r="K11" s="4"/>
      <c r="L11" s="4"/>
      <c r="M11" s="4"/>
      <c r="N11" s="4"/>
      <c r="O11" s="4"/>
      <c r="P11" s="4"/>
      <c r="Q11" s="4"/>
      <c r="R11" s="4"/>
      <c r="S11" s="4"/>
      <c r="T11" s="4"/>
      <c r="U11" s="4"/>
    </row>
    <row r="12" spans="1:21" x14ac:dyDescent="0.45">
      <c r="A12" s="4"/>
      <c r="B12" s="4"/>
      <c r="C12" s="4"/>
      <c r="D12" s="4"/>
      <c r="E12" s="4"/>
      <c r="F12" s="4"/>
      <c r="G12" s="4"/>
      <c r="H12" s="4"/>
      <c r="I12" s="4"/>
      <c r="J12" s="4"/>
      <c r="K12" s="4"/>
      <c r="L12" s="4"/>
      <c r="M12" s="4"/>
      <c r="N12" s="4"/>
      <c r="O12" s="4"/>
      <c r="P12" s="4"/>
      <c r="Q12" s="4"/>
      <c r="R12" s="4"/>
      <c r="S12" s="4"/>
      <c r="T12" s="4"/>
      <c r="U12" s="4"/>
    </row>
    <row r="13" spans="1:21" x14ac:dyDescent="0.45">
      <c r="A13" s="4"/>
      <c r="B13" s="4"/>
      <c r="C13" s="4"/>
      <c r="D13" s="4"/>
      <c r="E13" s="4"/>
      <c r="F13" s="4"/>
      <c r="G13" s="4"/>
      <c r="H13" s="4"/>
      <c r="I13" s="4"/>
      <c r="J13" s="4"/>
      <c r="K13" s="4"/>
      <c r="L13" s="4"/>
      <c r="M13" s="4"/>
      <c r="N13" s="4"/>
      <c r="O13" s="4"/>
      <c r="P13" s="4"/>
      <c r="Q13" s="4"/>
      <c r="R13" s="4"/>
      <c r="S13" s="4"/>
      <c r="T13" s="4"/>
      <c r="U13" s="4"/>
    </row>
    <row r="14" spans="1:21" x14ac:dyDescent="0.45">
      <c r="A14" s="4"/>
      <c r="B14" s="4"/>
      <c r="C14" s="4"/>
      <c r="D14" s="4"/>
      <c r="E14" s="4"/>
      <c r="F14" s="4"/>
      <c r="G14" s="4"/>
      <c r="H14" s="4"/>
      <c r="I14" s="4"/>
      <c r="J14" s="4"/>
      <c r="K14" s="4"/>
      <c r="L14" s="4"/>
      <c r="M14" s="4"/>
      <c r="N14" s="4"/>
      <c r="O14" s="4"/>
      <c r="P14" s="4"/>
      <c r="Q14" s="4"/>
      <c r="R14" s="4"/>
      <c r="S14" s="4"/>
      <c r="T14" s="4"/>
      <c r="U14" s="4"/>
    </row>
    <row r="15" spans="1:21" x14ac:dyDescent="0.45">
      <c r="A15" s="4"/>
      <c r="B15" s="4"/>
      <c r="C15" s="4"/>
      <c r="D15" s="4"/>
      <c r="E15" s="4"/>
      <c r="F15" s="4"/>
      <c r="G15" s="4"/>
      <c r="H15" s="4"/>
      <c r="I15" s="4"/>
      <c r="J15" s="4"/>
      <c r="K15" s="4"/>
      <c r="L15" s="4"/>
      <c r="M15" s="4"/>
      <c r="N15" s="4"/>
      <c r="O15" s="4"/>
      <c r="P15" s="4"/>
      <c r="Q15" s="4"/>
      <c r="R15" s="4"/>
      <c r="S15" s="4"/>
      <c r="T15" s="4"/>
      <c r="U15" s="4"/>
    </row>
    <row r="16" spans="1:21" x14ac:dyDescent="0.45">
      <c r="A16" s="4"/>
      <c r="B16" s="4"/>
      <c r="C16" s="4"/>
      <c r="D16" s="4"/>
      <c r="E16" s="4"/>
      <c r="F16" s="4"/>
      <c r="G16" s="4"/>
      <c r="H16" s="4"/>
      <c r="I16" s="4"/>
      <c r="J16" s="4"/>
      <c r="K16" s="4"/>
      <c r="L16" s="4"/>
      <c r="M16" s="4"/>
      <c r="N16" s="4"/>
      <c r="O16" s="4"/>
      <c r="P16" s="4"/>
      <c r="Q16" s="4"/>
      <c r="R16" s="4"/>
      <c r="S16" s="4"/>
      <c r="T16" s="4"/>
      <c r="U16" s="4"/>
    </row>
    <row r="17" spans="1:21" x14ac:dyDescent="0.45">
      <c r="A17" s="4"/>
      <c r="B17" s="4"/>
      <c r="C17" s="4"/>
      <c r="D17" s="4"/>
      <c r="E17" s="4"/>
      <c r="F17" s="4"/>
      <c r="G17" s="4"/>
      <c r="H17" s="4"/>
      <c r="I17" s="4"/>
      <c r="J17" s="4"/>
      <c r="K17" s="4"/>
      <c r="L17" s="4"/>
      <c r="M17" s="4"/>
      <c r="N17" s="4"/>
      <c r="O17" s="4"/>
      <c r="P17" s="4"/>
      <c r="Q17" s="4"/>
      <c r="R17" s="4"/>
      <c r="S17" s="4"/>
      <c r="T17" s="4"/>
      <c r="U17" s="4"/>
    </row>
    <row r="18" spans="1:21" x14ac:dyDescent="0.45">
      <c r="A18" s="4"/>
      <c r="B18" s="4"/>
      <c r="C18" s="4"/>
      <c r="D18" s="4"/>
      <c r="E18" s="4"/>
      <c r="F18" s="4"/>
      <c r="G18" s="4"/>
      <c r="H18" s="4"/>
      <c r="I18" s="4"/>
      <c r="J18" s="4"/>
      <c r="K18" s="4"/>
      <c r="L18" s="4"/>
      <c r="M18" s="4"/>
      <c r="N18" s="4"/>
      <c r="O18" s="4"/>
      <c r="P18" s="4"/>
      <c r="Q18" s="4"/>
      <c r="R18" s="4"/>
      <c r="S18" s="4"/>
      <c r="T18" s="4"/>
      <c r="U18" s="4"/>
    </row>
    <row r="19" spans="1:21" x14ac:dyDescent="0.45">
      <c r="A19" s="4"/>
      <c r="B19" s="4"/>
      <c r="C19" s="4"/>
      <c r="D19" s="4"/>
      <c r="E19" s="4"/>
      <c r="F19" s="4"/>
      <c r="G19" s="4"/>
      <c r="H19" s="4"/>
      <c r="I19" s="4"/>
      <c r="J19" s="4"/>
      <c r="K19" s="4"/>
      <c r="L19" s="4"/>
      <c r="M19" s="4"/>
      <c r="N19" s="4"/>
      <c r="O19" s="4"/>
      <c r="P19" s="4"/>
      <c r="Q19" s="4"/>
      <c r="R19" s="4"/>
      <c r="S19" s="4"/>
      <c r="T19" s="4"/>
      <c r="U19" s="4"/>
    </row>
    <row r="20" spans="1:21" x14ac:dyDescent="0.45">
      <c r="A20" s="4"/>
      <c r="B20" s="4"/>
      <c r="C20" s="4"/>
      <c r="D20" s="4"/>
      <c r="E20" s="4"/>
      <c r="F20" s="4"/>
      <c r="G20" s="4"/>
      <c r="H20" s="4"/>
      <c r="I20" s="4"/>
      <c r="J20" s="4"/>
      <c r="K20" s="4"/>
      <c r="L20" s="4"/>
      <c r="M20" s="4"/>
      <c r="N20" s="4"/>
      <c r="O20" s="4"/>
      <c r="P20" s="4"/>
      <c r="Q20" s="4"/>
      <c r="R20" s="4"/>
      <c r="S20" s="4"/>
      <c r="T20" s="4"/>
      <c r="U20" s="4"/>
    </row>
    <row r="21" spans="1:21" x14ac:dyDescent="0.45">
      <c r="A21" s="4"/>
      <c r="B21" s="4"/>
      <c r="C21" s="4"/>
      <c r="D21" s="4"/>
      <c r="E21" s="4"/>
      <c r="F21" s="4"/>
      <c r="G21" s="4"/>
      <c r="H21" s="4"/>
      <c r="I21" s="4"/>
      <c r="J21" s="4"/>
      <c r="K21" s="4"/>
      <c r="L21" s="4"/>
      <c r="M21" s="4"/>
      <c r="N21" s="4"/>
      <c r="O21" s="4"/>
      <c r="P21" s="4"/>
      <c r="Q21" s="4"/>
      <c r="R21" s="4"/>
      <c r="S21" s="4"/>
      <c r="T21" s="4"/>
      <c r="U21" s="4"/>
    </row>
    <row r="22" spans="1:21" x14ac:dyDescent="0.45">
      <c r="A22" s="4"/>
      <c r="B22" s="4"/>
      <c r="C22" s="4"/>
      <c r="D22" s="4"/>
      <c r="E22" s="4"/>
      <c r="F22" s="4"/>
      <c r="G22" s="4"/>
      <c r="H22" s="4"/>
      <c r="I22" s="4"/>
      <c r="J22" s="4"/>
      <c r="K22" s="4"/>
      <c r="L22" s="4"/>
      <c r="M22" s="4"/>
      <c r="N22" s="4"/>
      <c r="O22" s="4"/>
      <c r="P22" s="4"/>
      <c r="Q22" s="4"/>
      <c r="R22" s="4"/>
      <c r="S22" s="4"/>
      <c r="T22" s="4"/>
      <c r="U22" s="4"/>
    </row>
    <row r="23" spans="1:21" x14ac:dyDescent="0.45">
      <c r="A23" s="4"/>
      <c r="B23" s="4"/>
      <c r="C23" s="4"/>
      <c r="D23" s="4"/>
      <c r="E23" s="4"/>
      <c r="F23" s="4"/>
      <c r="G23" s="4"/>
      <c r="H23" s="4"/>
      <c r="I23" s="4"/>
      <c r="J23" s="4"/>
      <c r="K23" s="4"/>
      <c r="L23" s="4"/>
      <c r="M23" s="4"/>
      <c r="N23" s="4"/>
      <c r="O23" s="4"/>
      <c r="P23" s="4"/>
      <c r="Q23" s="4"/>
      <c r="R23" s="4"/>
      <c r="S23" s="4"/>
      <c r="T23" s="4"/>
      <c r="U23" s="4"/>
    </row>
    <row r="24" spans="1:21" x14ac:dyDescent="0.45">
      <c r="A24" s="4"/>
      <c r="B24" s="4"/>
      <c r="C24" s="4"/>
      <c r="D24" s="4"/>
      <c r="E24" s="4"/>
      <c r="F24" s="4"/>
      <c r="G24" s="4"/>
      <c r="H24" s="4"/>
      <c r="I24" s="4"/>
      <c r="J24" s="4"/>
      <c r="K24" s="4"/>
      <c r="L24" s="4"/>
      <c r="M24" s="4"/>
      <c r="N24" s="4"/>
      <c r="O24" s="4"/>
      <c r="P24" s="4"/>
      <c r="Q24" s="4"/>
      <c r="R24" s="4"/>
      <c r="S24" s="4"/>
      <c r="T24" s="4"/>
      <c r="U24" s="4"/>
    </row>
    <row r="25" spans="1:21" x14ac:dyDescent="0.45">
      <c r="A25" s="4"/>
      <c r="B25" s="4"/>
      <c r="C25" s="4"/>
      <c r="D25" s="4"/>
      <c r="E25" s="4"/>
      <c r="F25" s="4"/>
      <c r="G25" s="4"/>
      <c r="H25" s="4"/>
      <c r="I25" s="4"/>
      <c r="J25" s="4"/>
      <c r="K25" s="4"/>
      <c r="L25" s="4"/>
      <c r="M25" s="4"/>
      <c r="N25" s="4"/>
      <c r="O25" s="4"/>
      <c r="P25" s="4"/>
      <c r="Q25" s="4"/>
      <c r="R25" s="4"/>
      <c r="S25" s="4"/>
      <c r="T25" s="4"/>
      <c r="U25" s="4"/>
    </row>
    <row r="26" spans="1:21" x14ac:dyDescent="0.45">
      <c r="A26" s="4"/>
      <c r="B26" s="4"/>
      <c r="C26" s="4"/>
      <c r="D26" s="4"/>
      <c r="E26" s="4"/>
      <c r="F26" s="4"/>
      <c r="G26" s="4"/>
      <c r="H26" s="4"/>
      <c r="I26" s="4"/>
      <c r="J26" s="4"/>
      <c r="K26" s="4"/>
      <c r="L26" s="4"/>
      <c r="M26" s="4"/>
      <c r="N26" s="4"/>
      <c r="O26" s="4"/>
      <c r="P26" s="4"/>
      <c r="Q26" s="4"/>
      <c r="R26" s="4"/>
      <c r="S26" s="4"/>
      <c r="T26" s="4"/>
      <c r="U26" s="4"/>
    </row>
    <row r="27" spans="1:21" x14ac:dyDescent="0.45">
      <c r="A27" s="4"/>
      <c r="B27" s="4"/>
      <c r="C27" s="4"/>
      <c r="D27" s="4"/>
      <c r="E27" s="4"/>
      <c r="F27" s="4"/>
      <c r="G27" s="4"/>
      <c r="H27" s="4"/>
      <c r="I27" s="4"/>
      <c r="J27" s="4"/>
      <c r="K27" s="4"/>
      <c r="L27" s="4"/>
      <c r="M27" s="4"/>
      <c r="N27" s="4"/>
      <c r="O27" s="4"/>
      <c r="P27" s="4"/>
      <c r="Q27" s="4"/>
      <c r="R27" s="4"/>
      <c r="S27" s="4"/>
      <c r="T27" s="4"/>
      <c r="U27" s="4"/>
    </row>
    <row r="28" spans="1:21" x14ac:dyDescent="0.45">
      <c r="A28" s="4"/>
      <c r="B28" s="4"/>
      <c r="C28" s="4"/>
      <c r="D28" s="4"/>
      <c r="E28" s="4"/>
      <c r="F28" s="4"/>
      <c r="G28" s="4"/>
      <c r="H28" s="4"/>
      <c r="I28" s="4"/>
      <c r="J28" s="4"/>
      <c r="K28" s="4"/>
      <c r="L28" s="4"/>
      <c r="M28" s="4"/>
      <c r="N28" s="4"/>
      <c r="O28" s="4"/>
      <c r="P28" s="4"/>
      <c r="Q28" s="4"/>
      <c r="R28" s="4"/>
      <c r="S28" s="4"/>
      <c r="T28" s="4"/>
      <c r="U28" s="4"/>
    </row>
    <row r="29" spans="1:21" x14ac:dyDescent="0.45">
      <c r="A29" s="4"/>
      <c r="B29" s="4"/>
      <c r="C29" s="4"/>
      <c r="D29" s="4"/>
      <c r="E29" s="4"/>
      <c r="F29" s="4"/>
      <c r="G29" s="4"/>
      <c r="H29" s="4"/>
      <c r="I29" s="4"/>
      <c r="J29" s="4"/>
      <c r="K29" s="4"/>
      <c r="L29" s="4"/>
      <c r="M29" s="4"/>
      <c r="N29" s="4"/>
      <c r="O29" s="4"/>
      <c r="P29" s="4"/>
      <c r="Q29" s="4"/>
      <c r="R29" s="4"/>
      <c r="S29" s="4"/>
      <c r="T29" s="4"/>
      <c r="U29" s="4"/>
    </row>
    <row r="30" spans="1:21" x14ac:dyDescent="0.45">
      <c r="A30" s="4"/>
      <c r="B30" s="4"/>
      <c r="C30" s="4"/>
      <c r="D30" s="4"/>
      <c r="E30" s="4"/>
      <c r="F30" s="4"/>
      <c r="G30" s="4"/>
      <c r="H30" s="4"/>
      <c r="I30" s="4"/>
      <c r="J30" s="4"/>
      <c r="K30" s="4"/>
      <c r="L30" s="4"/>
      <c r="M30" s="4"/>
      <c r="N30" s="4"/>
      <c r="O30" s="4"/>
      <c r="P30" s="4"/>
      <c r="Q30" s="4"/>
      <c r="R30" s="4"/>
      <c r="S30" s="4"/>
      <c r="T30" s="4"/>
      <c r="U30" s="4"/>
    </row>
    <row r="31" spans="1:21" x14ac:dyDescent="0.45">
      <c r="A31" s="4"/>
      <c r="B31" s="4"/>
      <c r="C31" s="4"/>
      <c r="D31" s="4"/>
      <c r="E31" s="4"/>
      <c r="F31" s="4"/>
      <c r="G31" s="4"/>
      <c r="H31" s="4"/>
      <c r="I31" s="4"/>
      <c r="J31" s="4"/>
      <c r="K31" s="4"/>
      <c r="L31" s="4"/>
      <c r="M31" s="4"/>
      <c r="N31" s="4"/>
      <c r="O31" s="4"/>
      <c r="P31" s="4"/>
      <c r="Q31" s="4"/>
      <c r="R31" s="4"/>
      <c r="S31" s="4"/>
      <c r="T31" s="4"/>
      <c r="U31" s="4"/>
    </row>
    <row r="32" spans="1:21" x14ac:dyDescent="0.45">
      <c r="A32" s="4"/>
      <c r="B32" s="4"/>
      <c r="C32" s="4"/>
      <c r="D32" s="4"/>
      <c r="E32" s="4"/>
      <c r="F32" s="4"/>
      <c r="G32" s="4"/>
      <c r="H32" s="4"/>
      <c r="I32" s="4"/>
      <c r="J32" s="4"/>
      <c r="K32" s="4"/>
      <c r="L32" s="4"/>
      <c r="M32" s="4"/>
      <c r="N32" s="4"/>
      <c r="O32" s="4"/>
      <c r="P32" s="4"/>
      <c r="Q32" s="4"/>
      <c r="R32" s="4"/>
      <c r="S32" s="4"/>
      <c r="T32" s="4"/>
      <c r="U32" s="4"/>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CE9B-1E3F-4C85-B2A7-45942419FE57}">
  <dimension ref="A1:T8"/>
  <sheetViews>
    <sheetView topLeftCell="C1" workbookViewId="0">
      <selection activeCell="L25" sqref="L25"/>
    </sheetView>
  </sheetViews>
  <sheetFormatPr defaultRowHeight="14.25" x14ac:dyDescent="0.45"/>
  <cols>
    <col min="1" max="1" width="12.06640625" bestFit="1" customWidth="1"/>
    <col min="2" max="2" width="26.59765625" bestFit="1" customWidth="1"/>
    <col min="4" max="4" width="20.3984375" bestFit="1" customWidth="1"/>
    <col min="5" max="5" width="14.73046875" bestFit="1" customWidth="1"/>
    <col min="6" max="6" width="1.73046875" bestFit="1" customWidth="1"/>
    <col min="7" max="8" width="2.73046875" bestFit="1" customWidth="1"/>
    <col min="9" max="10" width="1.73046875" bestFit="1" customWidth="1"/>
    <col min="11" max="11" width="10.19921875" bestFit="1" customWidth="1"/>
    <col min="12" max="12" width="20.3984375" bestFit="1" customWidth="1"/>
    <col min="13" max="13" width="14.73046875" bestFit="1" customWidth="1"/>
    <col min="14" max="14" width="5.1328125" bestFit="1" customWidth="1"/>
    <col min="15" max="15" width="5.6640625" bestFit="1" customWidth="1"/>
    <col min="16" max="16" width="10.19921875" bestFit="1" customWidth="1"/>
    <col min="17" max="17" width="26.59765625" bestFit="1" customWidth="1"/>
    <col min="18" max="18" width="14.73046875" bestFit="1" customWidth="1"/>
    <col min="19" max="19" width="4.3984375" bestFit="1" customWidth="1"/>
    <col min="20" max="20" width="4.1328125" bestFit="1" customWidth="1"/>
    <col min="21" max="21" width="10.19921875" bestFit="1" customWidth="1"/>
  </cols>
  <sheetData>
    <row r="1" spans="1:20" x14ac:dyDescent="0.45">
      <c r="A1" s="1" t="s">
        <v>145</v>
      </c>
      <c r="B1" t="s">
        <v>158</v>
      </c>
    </row>
    <row r="2" spans="1:20" x14ac:dyDescent="0.45">
      <c r="A2" s="2">
        <v>4.4000000000000004</v>
      </c>
      <c r="B2">
        <v>27</v>
      </c>
      <c r="D2" s="1" t="s">
        <v>159</v>
      </c>
      <c r="E2" s="1" t="s">
        <v>146</v>
      </c>
      <c r="L2" s="1" t="s">
        <v>159</v>
      </c>
      <c r="M2" s="1" t="s">
        <v>146</v>
      </c>
    </row>
    <row r="3" spans="1:20" x14ac:dyDescent="0.45">
      <c r="A3" s="2">
        <v>4.5</v>
      </c>
      <c r="B3">
        <v>30</v>
      </c>
      <c r="D3" s="1" t="s">
        <v>145</v>
      </c>
      <c r="E3">
        <v>4</v>
      </c>
      <c r="F3">
        <v>5</v>
      </c>
      <c r="G3">
        <v>6</v>
      </c>
      <c r="H3">
        <v>7</v>
      </c>
      <c r="I3">
        <v>8</v>
      </c>
      <c r="J3">
        <v>9</v>
      </c>
      <c r="L3" s="1" t="s">
        <v>145</v>
      </c>
      <c r="M3" t="s">
        <v>160</v>
      </c>
      <c r="N3" t="s">
        <v>161</v>
      </c>
      <c r="O3" t="s">
        <v>162</v>
      </c>
      <c r="Q3" s="1" t="s">
        <v>158</v>
      </c>
      <c r="R3" s="1" t="s">
        <v>146</v>
      </c>
    </row>
    <row r="4" spans="1:20" x14ac:dyDescent="0.45">
      <c r="A4" s="2">
        <v>4.5999999999999996</v>
      </c>
      <c r="B4">
        <v>28</v>
      </c>
      <c r="D4" s="2">
        <v>6.7</v>
      </c>
      <c r="F4">
        <v>4</v>
      </c>
      <c r="G4">
        <v>18</v>
      </c>
      <c r="H4">
        <v>3</v>
      </c>
      <c r="L4" s="2" t="s">
        <v>163</v>
      </c>
      <c r="M4">
        <v>263</v>
      </c>
      <c r="N4">
        <v>48</v>
      </c>
      <c r="O4">
        <v>21</v>
      </c>
      <c r="Q4" s="1" t="s">
        <v>145</v>
      </c>
      <c r="R4" t="s">
        <v>163</v>
      </c>
      <c r="S4" t="s">
        <v>153</v>
      </c>
      <c r="T4" t="s">
        <v>164</v>
      </c>
    </row>
    <row r="5" spans="1:20" x14ac:dyDescent="0.45">
      <c r="A5" s="2">
        <v>4.7</v>
      </c>
      <c r="B5">
        <v>31</v>
      </c>
      <c r="D5" s="2">
        <v>7.2</v>
      </c>
      <c r="F5">
        <v>4</v>
      </c>
      <c r="G5">
        <v>4</v>
      </c>
      <c r="H5">
        <v>13</v>
      </c>
      <c r="I5">
        <v>7</v>
      </c>
      <c r="L5" s="2" t="s">
        <v>153</v>
      </c>
      <c r="M5">
        <v>276</v>
      </c>
      <c r="N5">
        <v>55</v>
      </c>
      <c r="O5">
        <v>8</v>
      </c>
      <c r="Q5" s="2" t="s">
        <v>163</v>
      </c>
      <c r="R5">
        <v>190</v>
      </c>
      <c r="S5">
        <v>135</v>
      </c>
      <c r="T5">
        <v>7</v>
      </c>
    </row>
    <row r="6" spans="1:20" x14ac:dyDescent="0.45">
      <c r="A6" s="2">
        <v>4.8</v>
      </c>
      <c r="B6">
        <v>29</v>
      </c>
      <c r="D6" s="2">
        <v>7.3</v>
      </c>
      <c r="F6">
        <v>2</v>
      </c>
      <c r="G6">
        <v>4</v>
      </c>
      <c r="H6">
        <v>17</v>
      </c>
      <c r="I6">
        <v>5</v>
      </c>
      <c r="L6" s="2" t="s">
        <v>164</v>
      </c>
      <c r="M6">
        <v>31</v>
      </c>
      <c r="N6">
        <v>3</v>
      </c>
      <c r="Q6" s="2" t="s">
        <v>153</v>
      </c>
      <c r="R6">
        <v>148</v>
      </c>
      <c r="S6">
        <v>164</v>
      </c>
      <c r="T6">
        <v>27</v>
      </c>
    </row>
    <row r="7" spans="1:20" x14ac:dyDescent="0.45">
      <c r="D7" s="2">
        <v>7.4</v>
      </c>
      <c r="F7">
        <v>2</v>
      </c>
      <c r="G7">
        <v>4</v>
      </c>
      <c r="H7">
        <v>14</v>
      </c>
      <c r="I7">
        <v>6</v>
      </c>
      <c r="Q7" s="2" t="s">
        <v>164</v>
      </c>
      <c r="R7">
        <v>3</v>
      </c>
      <c r="S7">
        <v>29</v>
      </c>
      <c r="T7">
        <v>2</v>
      </c>
    </row>
    <row r="8" spans="1:20" x14ac:dyDescent="0.45">
      <c r="D8" s="2">
        <v>7.5</v>
      </c>
      <c r="F8">
        <v>2</v>
      </c>
      <c r="G8">
        <v>4</v>
      </c>
      <c r="H8">
        <v>13</v>
      </c>
      <c r="I8">
        <v>6</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73A2-0555-4695-8222-FE4BCD8F949C}">
  <dimension ref="A1:S32"/>
  <sheetViews>
    <sheetView topLeftCell="A3" workbookViewId="0">
      <selection activeCell="L3" sqref="L3"/>
    </sheetView>
  </sheetViews>
  <sheetFormatPr defaultRowHeight="14.25" x14ac:dyDescent="0.45"/>
  <sheetData>
    <row r="1" spans="1:19" ht="31.15" thickBot="1" x14ac:dyDescent="0.95">
      <c r="A1" s="12" t="s">
        <v>171</v>
      </c>
      <c r="B1" s="13"/>
      <c r="C1" s="13"/>
      <c r="D1" s="13"/>
      <c r="E1" s="13"/>
      <c r="F1" s="13"/>
      <c r="G1" s="13"/>
      <c r="H1" s="13"/>
      <c r="I1" s="13"/>
      <c r="J1" s="13"/>
      <c r="K1" s="13"/>
      <c r="L1" s="13"/>
      <c r="M1" s="13"/>
      <c r="N1" s="13"/>
      <c r="O1" s="13"/>
      <c r="P1" s="13"/>
      <c r="Q1" s="13"/>
      <c r="R1" s="13"/>
      <c r="S1" s="13"/>
    </row>
    <row r="2" spans="1:19" x14ac:dyDescent="0.45">
      <c r="A2" s="4"/>
      <c r="B2" s="4"/>
      <c r="C2" s="4"/>
      <c r="D2" s="4"/>
      <c r="E2" s="4"/>
      <c r="F2" s="4"/>
      <c r="G2" s="4"/>
      <c r="H2" s="4"/>
      <c r="I2" s="4"/>
      <c r="J2" s="4"/>
      <c r="K2" s="4"/>
      <c r="L2" s="4"/>
      <c r="M2" s="4"/>
      <c r="N2" s="4"/>
      <c r="O2" s="4"/>
      <c r="P2" s="4"/>
      <c r="Q2" s="4"/>
      <c r="R2" s="4"/>
      <c r="S2" s="4"/>
    </row>
    <row r="3" spans="1:19" x14ac:dyDescent="0.45">
      <c r="A3" s="4"/>
      <c r="B3" s="4"/>
      <c r="C3" s="4"/>
      <c r="D3" s="4"/>
      <c r="E3" s="4"/>
      <c r="F3" s="4"/>
      <c r="G3" s="4"/>
      <c r="H3" s="4"/>
      <c r="I3" s="4"/>
      <c r="J3" s="4"/>
      <c r="K3" s="4"/>
      <c r="L3" s="4"/>
      <c r="M3" s="4"/>
      <c r="N3" s="4"/>
      <c r="O3" s="4"/>
      <c r="P3" s="4"/>
      <c r="Q3" s="4"/>
      <c r="R3" s="4"/>
      <c r="S3" s="4"/>
    </row>
    <row r="4" spans="1:19" x14ac:dyDescent="0.45">
      <c r="A4" s="4"/>
      <c r="B4" s="4"/>
      <c r="C4" s="4"/>
      <c r="D4" s="4"/>
      <c r="E4" s="4"/>
      <c r="F4" s="4"/>
      <c r="G4" s="4"/>
      <c r="H4" s="4"/>
      <c r="I4" s="4"/>
      <c r="J4" s="4"/>
      <c r="K4" s="4"/>
      <c r="L4" s="4"/>
      <c r="M4" s="4"/>
      <c r="N4" s="4"/>
      <c r="O4" s="4"/>
      <c r="P4" s="4"/>
      <c r="Q4" s="4"/>
      <c r="R4" s="4"/>
      <c r="S4" s="4"/>
    </row>
    <row r="5" spans="1:19" x14ac:dyDescent="0.45">
      <c r="A5" s="4"/>
      <c r="B5" s="4"/>
      <c r="C5" s="4"/>
      <c r="D5" s="4"/>
      <c r="E5" s="4"/>
      <c r="F5" s="4"/>
      <c r="G5" s="4"/>
      <c r="H5" s="4"/>
      <c r="I5" s="4"/>
      <c r="J5" s="4"/>
      <c r="K5" s="4"/>
      <c r="L5" s="4"/>
      <c r="M5" s="4"/>
      <c r="N5" s="4"/>
      <c r="O5" s="4"/>
      <c r="P5" s="4"/>
      <c r="Q5" s="4"/>
      <c r="R5" s="4"/>
      <c r="S5" s="4"/>
    </row>
    <row r="6" spans="1:19" x14ac:dyDescent="0.45">
      <c r="A6" s="4"/>
      <c r="B6" s="4"/>
      <c r="C6" s="4"/>
      <c r="D6" s="4"/>
      <c r="E6" s="4"/>
      <c r="F6" s="4"/>
      <c r="G6" s="4"/>
      <c r="H6" s="4"/>
      <c r="I6" s="4"/>
      <c r="J6" s="4"/>
      <c r="K6" s="4"/>
      <c r="L6" s="4"/>
      <c r="M6" s="4"/>
      <c r="N6" s="4"/>
      <c r="O6" s="4"/>
      <c r="P6" s="4"/>
      <c r="Q6" s="4"/>
      <c r="R6" s="4"/>
      <c r="S6" s="4"/>
    </row>
    <row r="7" spans="1:19" x14ac:dyDescent="0.45">
      <c r="A7" s="4"/>
      <c r="B7" s="4"/>
      <c r="C7" s="4"/>
      <c r="D7" s="4"/>
      <c r="E7" s="4"/>
      <c r="F7" s="4"/>
      <c r="G7" s="4"/>
      <c r="H7" s="4"/>
      <c r="I7" s="4"/>
      <c r="J7" s="4"/>
      <c r="K7" s="4"/>
      <c r="L7" s="4"/>
      <c r="M7" s="4"/>
      <c r="N7" s="4"/>
      <c r="O7" s="4"/>
      <c r="P7" s="4"/>
      <c r="Q7" s="4"/>
      <c r="R7" s="4"/>
      <c r="S7" s="4"/>
    </row>
    <row r="8" spans="1:19" x14ac:dyDescent="0.45">
      <c r="A8" s="4"/>
      <c r="B8" s="4"/>
      <c r="C8" s="4"/>
      <c r="D8" s="4"/>
      <c r="E8" s="4"/>
      <c r="F8" s="4"/>
      <c r="G8" s="4"/>
      <c r="H8" s="4"/>
      <c r="I8" s="4"/>
      <c r="J8" s="4"/>
      <c r="K8" s="4"/>
      <c r="L8" s="4"/>
      <c r="M8" s="4"/>
      <c r="N8" s="4"/>
      <c r="O8" s="4"/>
      <c r="P8" s="4"/>
      <c r="Q8" s="4"/>
      <c r="R8" s="4"/>
      <c r="S8" s="4"/>
    </row>
    <row r="9" spans="1:19" x14ac:dyDescent="0.45">
      <c r="A9" s="4"/>
      <c r="B9" s="4"/>
      <c r="C9" s="4"/>
      <c r="D9" s="4"/>
      <c r="E9" s="4"/>
      <c r="F9" s="4"/>
      <c r="G9" s="4"/>
      <c r="H9" s="4"/>
      <c r="I9" s="4"/>
      <c r="J9" s="4"/>
      <c r="K9" s="4"/>
      <c r="L9" s="4"/>
      <c r="M9" s="4"/>
      <c r="N9" s="4"/>
      <c r="O9" s="4"/>
      <c r="P9" s="4"/>
      <c r="Q9" s="4"/>
      <c r="R9" s="4"/>
      <c r="S9" s="4"/>
    </row>
    <row r="10" spans="1:19" x14ac:dyDescent="0.45">
      <c r="A10" s="4"/>
      <c r="B10" s="4"/>
      <c r="C10" s="4"/>
      <c r="D10" s="4"/>
      <c r="E10" s="4"/>
      <c r="F10" s="4"/>
      <c r="G10" s="4"/>
      <c r="H10" s="4"/>
      <c r="I10" s="4"/>
      <c r="J10" s="4"/>
      <c r="K10" s="4"/>
      <c r="L10" s="4"/>
      <c r="M10" s="4"/>
      <c r="N10" s="4"/>
      <c r="O10" s="4"/>
      <c r="P10" s="4"/>
      <c r="Q10" s="4"/>
      <c r="R10" s="4"/>
      <c r="S10" s="4"/>
    </row>
    <row r="11" spans="1:19" x14ac:dyDescent="0.45">
      <c r="A11" s="4"/>
      <c r="B11" s="4"/>
      <c r="C11" s="4"/>
      <c r="D11" s="4"/>
      <c r="E11" s="4"/>
      <c r="F11" s="4"/>
      <c r="G11" s="4"/>
      <c r="H11" s="4"/>
      <c r="I11" s="4"/>
      <c r="J11" s="4"/>
      <c r="K11" s="4"/>
      <c r="L11" s="4"/>
      <c r="M11" s="4"/>
      <c r="N11" s="4"/>
      <c r="O11" s="4"/>
      <c r="P11" s="4"/>
      <c r="Q11" s="4"/>
      <c r="R11" s="4"/>
      <c r="S11" s="4"/>
    </row>
    <row r="12" spans="1:19" x14ac:dyDescent="0.45">
      <c r="A12" s="4"/>
      <c r="B12" s="4"/>
      <c r="C12" s="4"/>
      <c r="D12" s="4"/>
      <c r="E12" s="4"/>
      <c r="F12" s="4"/>
      <c r="G12" s="4"/>
      <c r="H12" s="4"/>
      <c r="I12" s="4"/>
      <c r="J12" s="4"/>
      <c r="K12" s="4"/>
      <c r="L12" s="4"/>
      <c r="M12" s="4"/>
      <c r="N12" s="4"/>
      <c r="O12" s="4"/>
      <c r="P12" s="4"/>
      <c r="Q12" s="4"/>
      <c r="R12" s="4"/>
      <c r="S12" s="4"/>
    </row>
    <row r="13" spans="1:19" x14ac:dyDescent="0.45">
      <c r="A13" s="4"/>
      <c r="B13" s="4"/>
      <c r="C13" s="4"/>
      <c r="D13" s="4"/>
      <c r="E13" s="4"/>
      <c r="F13" s="4"/>
      <c r="G13" s="4"/>
      <c r="H13" s="4"/>
      <c r="I13" s="4"/>
      <c r="J13" s="4"/>
      <c r="K13" s="4"/>
      <c r="L13" s="4"/>
      <c r="M13" s="4"/>
      <c r="N13" s="4"/>
      <c r="O13" s="4"/>
      <c r="P13" s="4"/>
      <c r="Q13" s="4"/>
      <c r="R13" s="4"/>
      <c r="S13" s="4"/>
    </row>
    <row r="14" spans="1:19" x14ac:dyDescent="0.45">
      <c r="A14" s="4"/>
      <c r="B14" s="4"/>
      <c r="C14" s="4"/>
      <c r="D14" s="4"/>
      <c r="E14" s="4"/>
      <c r="F14" s="4"/>
      <c r="G14" s="4"/>
      <c r="H14" s="4"/>
      <c r="I14" s="4"/>
      <c r="J14" s="4"/>
      <c r="K14" s="4"/>
      <c r="L14" s="4"/>
      <c r="M14" s="4"/>
      <c r="N14" s="4"/>
      <c r="O14" s="4"/>
      <c r="P14" s="4"/>
      <c r="Q14" s="4"/>
      <c r="R14" s="4"/>
      <c r="S14" s="4"/>
    </row>
    <row r="15" spans="1:19" x14ac:dyDescent="0.45">
      <c r="A15" s="4"/>
      <c r="B15" s="4"/>
      <c r="C15" s="4"/>
      <c r="D15" s="4"/>
      <c r="E15" s="4"/>
      <c r="F15" s="4"/>
      <c r="G15" s="4"/>
      <c r="H15" s="4"/>
      <c r="I15" s="4"/>
      <c r="J15" s="4"/>
      <c r="K15" s="4"/>
      <c r="L15" s="4"/>
      <c r="M15" s="4"/>
      <c r="N15" s="4"/>
      <c r="O15" s="4"/>
      <c r="P15" s="4"/>
      <c r="Q15" s="4"/>
      <c r="R15" s="4"/>
      <c r="S15" s="4"/>
    </row>
    <row r="16" spans="1:19" x14ac:dyDescent="0.45">
      <c r="A16" s="4"/>
      <c r="B16" s="4"/>
      <c r="C16" s="4"/>
      <c r="D16" s="4"/>
      <c r="E16" s="4"/>
      <c r="F16" s="4"/>
      <c r="G16" s="4"/>
      <c r="H16" s="4"/>
      <c r="I16" s="4"/>
      <c r="J16" s="4"/>
      <c r="K16" s="4"/>
      <c r="L16" s="4"/>
      <c r="M16" s="4"/>
      <c r="N16" s="4"/>
      <c r="O16" s="4"/>
      <c r="P16" s="4"/>
      <c r="Q16" s="4"/>
      <c r="R16" s="4"/>
      <c r="S16" s="4"/>
    </row>
    <row r="17" spans="1:19" x14ac:dyDescent="0.45">
      <c r="A17" s="4"/>
      <c r="B17" s="4"/>
      <c r="C17" s="4"/>
      <c r="D17" s="4"/>
      <c r="E17" s="4"/>
      <c r="F17" s="4"/>
      <c r="G17" s="4"/>
      <c r="H17" s="4"/>
      <c r="I17" s="4"/>
      <c r="J17" s="4"/>
      <c r="K17" s="4"/>
      <c r="L17" s="4"/>
      <c r="M17" s="4"/>
      <c r="N17" s="4"/>
      <c r="O17" s="4"/>
      <c r="P17" s="4"/>
      <c r="Q17" s="4"/>
      <c r="R17" s="4"/>
      <c r="S17" s="4"/>
    </row>
    <row r="18" spans="1:19" x14ac:dyDescent="0.45">
      <c r="A18" s="4"/>
      <c r="B18" s="4"/>
      <c r="C18" s="4"/>
      <c r="D18" s="4"/>
      <c r="E18" s="4"/>
      <c r="F18" s="4"/>
      <c r="G18" s="4"/>
      <c r="H18" s="4"/>
      <c r="I18" s="4"/>
      <c r="J18" s="4"/>
      <c r="K18" s="4"/>
      <c r="L18" s="4"/>
      <c r="M18" s="4"/>
      <c r="N18" s="4"/>
      <c r="O18" s="4"/>
      <c r="P18" s="4"/>
      <c r="Q18" s="4"/>
      <c r="R18" s="4"/>
      <c r="S18" s="4"/>
    </row>
    <row r="19" spans="1:19" x14ac:dyDescent="0.45">
      <c r="A19" s="4"/>
      <c r="B19" s="4"/>
      <c r="C19" s="4"/>
      <c r="D19" s="4"/>
      <c r="E19" s="4"/>
      <c r="F19" s="4"/>
      <c r="G19" s="4"/>
      <c r="H19" s="4"/>
      <c r="I19" s="4"/>
      <c r="J19" s="4"/>
      <c r="K19" s="4"/>
      <c r="L19" s="4"/>
      <c r="M19" s="4"/>
      <c r="N19" s="4"/>
      <c r="O19" s="4"/>
      <c r="P19" s="4"/>
      <c r="Q19" s="4"/>
      <c r="R19" s="4"/>
      <c r="S19" s="4"/>
    </row>
    <row r="20" spans="1:19" x14ac:dyDescent="0.45">
      <c r="A20" s="4"/>
      <c r="B20" s="4"/>
      <c r="C20" s="4"/>
      <c r="D20" s="4"/>
      <c r="E20" s="4"/>
      <c r="F20" s="4"/>
      <c r="G20" s="4"/>
      <c r="H20" s="4"/>
      <c r="I20" s="4"/>
      <c r="J20" s="4"/>
      <c r="K20" s="4"/>
      <c r="L20" s="4"/>
      <c r="M20" s="4"/>
      <c r="N20" s="4"/>
      <c r="O20" s="4"/>
      <c r="P20" s="4"/>
      <c r="Q20" s="4"/>
      <c r="R20" s="4"/>
      <c r="S20" s="4"/>
    </row>
    <row r="21" spans="1:19" x14ac:dyDescent="0.45">
      <c r="A21" s="4"/>
      <c r="B21" s="4"/>
      <c r="C21" s="4"/>
      <c r="D21" s="4"/>
      <c r="E21" s="4"/>
      <c r="F21" s="4"/>
      <c r="G21" s="4"/>
      <c r="H21" s="4"/>
      <c r="I21" s="4"/>
      <c r="J21" s="4"/>
      <c r="K21" s="4"/>
      <c r="L21" s="4"/>
      <c r="M21" s="4"/>
      <c r="N21" s="4"/>
      <c r="O21" s="4"/>
      <c r="P21" s="4"/>
      <c r="Q21" s="4"/>
      <c r="R21" s="4"/>
      <c r="S21" s="4"/>
    </row>
    <row r="22" spans="1:19" x14ac:dyDescent="0.45">
      <c r="A22" s="4"/>
      <c r="B22" s="4"/>
      <c r="C22" s="4"/>
      <c r="D22" s="4"/>
      <c r="E22" s="4"/>
      <c r="F22" s="4"/>
      <c r="G22" s="4"/>
      <c r="H22" s="4"/>
      <c r="I22" s="4"/>
      <c r="J22" s="4"/>
      <c r="K22" s="4"/>
      <c r="L22" s="4"/>
      <c r="M22" s="4"/>
      <c r="N22" s="4"/>
      <c r="O22" s="4"/>
      <c r="P22" s="4"/>
      <c r="Q22" s="4"/>
      <c r="R22" s="4"/>
      <c r="S22" s="4"/>
    </row>
    <row r="23" spans="1:19" x14ac:dyDescent="0.45">
      <c r="A23" s="4"/>
      <c r="B23" s="4"/>
      <c r="C23" s="4"/>
      <c r="D23" s="4"/>
      <c r="E23" s="4"/>
      <c r="F23" s="4"/>
      <c r="G23" s="4"/>
      <c r="H23" s="4"/>
      <c r="I23" s="4"/>
      <c r="J23" s="4"/>
      <c r="K23" s="4"/>
      <c r="L23" s="4"/>
      <c r="M23" s="4"/>
      <c r="N23" s="4"/>
      <c r="O23" s="4"/>
      <c r="P23" s="4"/>
      <c r="Q23" s="4"/>
      <c r="R23" s="4"/>
      <c r="S23" s="4"/>
    </row>
    <row r="24" spans="1:19" x14ac:dyDescent="0.45">
      <c r="A24" s="4"/>
      <c r="B24" s="4"/>
      <c r="C24" s="4"/>
      <c r="D24" s="4"/>
      <c r="E24" s="4"/>
      <c r="F24" s="4"/>
      <c r="G24" s="4"/>
      <c r="H24" s="4"/>
      <c r="I24" s="4"/>
      <c r="J24" s="4"/>
      <c r="K24" s="4"/>
      <c r="L24" s="4"/>
      <c r="M24" s="4"/>
      <c r="N24" s="4"/>
      <c r="O24" s="4"/>
      <c r="P24" s="4"/>
      <c r="Q24" s="4"/>
      <c r="R24" s="4"/>
      <c r="S24" s="4"/>
    </row>
    <row r="25" spans="1:19" x14ac:dyDescent="0.45">
      <c r="A25" s="4"/>
      <c r="B25" s="4"/>
      <c r="C25" s="4"/>
      <c r="D25" s="4"/>
      <c r="E25" s="4"/>
      <c r="F25" s="4"/>
      <c r="G25" s="4"/>
      <c r="H25" s="4"/>
      <c r="I25" s="4"/>
      <c r="J25" s="4"/>
      <c r="K25" s="4"/>
      <c r="L25" s="4"/>
      <c r="M25" s="4"/>
      <c r="N25" s="4"/>
      <c r="O25" s="4"/>
      <c r="P25" s="4"/>
      <c r="Q25" s="4"/>
      <c r="R25" s="4"/>
      <c r="S25" s="4"/>
    </row>
    <row r="26" spans="1:19" x14ac:dyDescent="0.45">
      <c r="A26" s="4"/>
      <c r="B26" s="4"/>
      <c r="C26" s="4"/>
      <c r="D26" s="4"/>
      <c r="E26" s="4"/>
      <c r="F26" s="4"/>
      <c r="G26" s="4"/>
      <c r="H26" s="4"/>
      <c r="I26" s="4"/>
      <c r="J26" s="4"/>
      <c r="K26" s="4"/>
      <c r="L26" s="4"/>
      <c r="M26" s="4"/>
      <c r="N26" s="4"/>
      <c r="O26" s="4"/>
      <c r="P26" s="4"/>
      <c r="Q26" s="4"/>
      <c r="R26" s="4"/>
      <c r="S26" s="4"/>
    </row>
    <row r="27" spans="1:19" x14ac:dyDescent="0.45">
      <c r="A27" s="4"/>
      <c r="B27" s="4"/>
      <c r="C27" s="4"/>
      <c r="D27" s="4"/>
      <c r="E27" s="4"/>
      <c r="F27" s="4"/>
      <c r="G27" s="4"/>
      <c r="H27" s="4"/>
      <c r="I27" s="4"/>
      <c r="J27" s="4"/>
      <c r="K27" s="4"/>
      <c r="L27" s="4"/>
      <c r="M27" s="4"/>
      <c r="N27" s="4"/>
      <c r="O27" s="4"/>
      <c r="P27" s="4"/>
      <c r="Q27" s="4"/>
      <c r="R27" s="4"/>
      <c r="S27" s="4"/>
    </row>
    <row r="28" spans="1:19" x14ac:dyDescent="0.45">
      <c r="A28" s="4"/>
      <c r="B28" s="4"/>
      <c r="C28" s="4"/>
      <c r="D28" s="4"/>
      <c r="E28" s="4"/>
      <c r="F28" s="4"/>
      <c r="G28" s="4"/>
      <c r="H28" s="4"/>
      <c r="I28" s="4"/>
      <c r="J28" s="4"/>
      <c r="K28" s="4"/>
      <c r="L28" s="4"/>
      <c r="M28" s="4"/>
      <c r="N28" s="4"/>
      <c r="O28" s="4"/>
      <c r="P28" s="4"/>
      <c r="Q28" s="4"/>
      <c r="R28" s="4"/>
      <c r="S28" s="4"/>
    </row>
    <row r="29" spans="1:19" x14ac:dyDescent="0.45">
      <c r="A29" s="4"/>
      <c r="B29" s="4"/>
      <c r="C29" s="4"/>
      <c r="D29" s="4"/>
      <c r="E29" s="4"/>
      <c r="F29" s="4"/>
      <c r="G29" s="4"/>
      <c r="H29" s="4"/>
      <c r="I29" s="4"/>
      <c r="J29" s="4"/>
      <c r="K29" s="4"/>
      <c r="L29" s="4"/>
      <c r="M29" s="4"/>
      <c r="N29" s="4"/>
      <c r="O29" s="4"/>
      <c r="P29" s="4"/>
      <c r="Q29" s="4"/>
      <c r="R29" s="4"/>
      <c r="S29" s="4"/>
    </row>
    <row r="30" spans="1:19" x14ac:dyDescent="0.45">
      <c r="A30" s="4"/>
      <c r="B30" s="4"/>
      <c r="C30" s="4"/>
      <c r="D30" s="4"/>
      <c r="E30" s="4"/>
      <c r="F30" s="4"/>
      <c r="G30" s="4"/>
      <c r="H30" s="4"/>
      <c r="I30" s="4"/>
      <c r="J30" s="4"/>
      <c r="K30" s="4"/>
      <c r="L30" s="4"/>
      <c r="M30" s="4"/>
      <c r="N30" s="4"/>
      <c r="O30" s="4"/>
      <c r="P30" s="4"/>
      <c r="Q30" s="4"/>
      <c r="R30" s="4"/>
      <c r="S30" s="4"/>
    </row>
    <row r="31" spans="1:19" x14ac:dyDescent="0.45">
      <c r="A31" s="4"/>
      <c r="B31" s="4"/>
      <c r="C31" s="4"/>
      <c r="D31" s="4"/>
      <c r="E31" s="4"/>
      <c r="F31" s="4"/>
      <c r="G31" s="4"/>
      <c r="H31" s="4"/>
      <c r="I31" s="4"/>
      <c r="J31" s="4"/>
      <c r="K31" s="4"/>
      <c r="L31" s="4"/>
      <c r="M31" s="4"/>
      <c r="N31" s="4"/>
      <c r="O31" s="4"/>
      <c r="P31" s="4"/>
      <c r="Q31" s="4"/>
      <c r="R31" s="4"/>
      <c r="S31" s="4"/>
    </row>
    <row r="32" spans="1:19" x14ac:dyDescent="0.45">
      <c r="A32" s="4"/>
      <c r="B32" s="4"/>
      <c r="C32" s="4"/>
      <c r="D32" s="4"/>
      <c r="E32" s="4"/>
      <c r="F32" s="4"/>
      <c r="G32" s="4"/>
      <c r="H32" s="4"/>
      <c r="I32" s="4"/>
      <c r="J32" s="4"/>
      <c r="K32" s="4"/>
      <c r="L32" s="4"/>
      <c r="M32" s="4"/>
      <c r="N32" s="4"/>
      <c r="O32" s="4"/>
      <c r="P32" s="4"/>
      <c r="Q32" s="4"/>
      <c r="R32" s="4"/>
      <c r="S32" s="4"/>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0858-509D-4894-A197-E27A1F81D437}">
  <dimension ref="A2:O13"/>
  <sheetViews>
    <sheetView topLeftCell="G1" zoomScale="114" workbookViewId="0">
      <selection activeCell="M9" sqref="M9"/>
    </sheetView>
  </sheetViews>
  <sheetFormatPr defaultRowHeight="14.25" x14ac:dyDescent="0.45"/>
  <cols>
    <col min="1" max="1" width="20.3984375" bestFit="1" customWidth="1"/>
    <col min="2" max="2" width="14.73046875" bestFit="1" customWidth="1"/>
    <col min="3" max="3" width="5.1328125" bestFit="1" customWidth="1"/>
    <col min="4" max="4" width="5.6640625" bestFit="1" customWidth="1"/>
    <col min="5" max="5" width="10.19921875" bestFit="1" customWidth="1"/>
    <col min="6" max="6" width="20.3984375" bestFit="1" customWidth="1"/>
    <col min="7" max="7" width="14.73046875" bestFit="1" customWidth="1"/>
    <col min="8" max="8" width="5.1328125" bestFit="1" customWidth="1"/>
    <col min="9" max="9" width="5.6640625" bestFit="1" customWidth="1"/>
    <col min="10" max="10" width="10.19921875" bestFit="1" customWidth="1"/>
    <col min="12" max="12" width="20.3984375" bestFit="1" customWidth="1"/>
    <col min="13" max="13" width="14.73046875" bestFit="1" customWidth="1"/>
    <col min="14" max="14" width="5.1328125" bestFit="1" customWidth="1"/>
    <col min="15" max="15" width="5.6640625" bestFit="1" customWidth="1"/>
    <col min="16" max="16" width="10.46484375" bestFit="1" customWidth="1"/>
  </cols>
  <sheetData>
    <row r="2" spans="1:15" x14ac:dyDescent="0.45">
      <c r="A2" s="1" t="s">
        <v>159</v>
      </c>
      <c r="B2" s="1" t="s">
        <v>146</v>
      </c>
      <c r="F2" s="1" t="s">
        <v>159</v>
      </c>
      <c r="G2" s="1" t="s">
        <v>146</v>
      </c>
    </row>
    <row r="3" spans="1:15" x14ac:dyDescent="0.45">
      <c r="A3" s="1" t="s">
        <v>145</v>
      </c>
      <c r="B3" t="s">
        <v>160</v>
      </c>
      <c r="C3" t="s">
        <v>161</v>
      </c>
      <c r="D3" t="s">
        <v>162</v>
      </c>
      <c r="F3" s="1" t="s">
        <v>145</v>
      </c>
      <c r="G3" t="s">
        <v>160</v>
      </c>
      <c r="H3" t="s">
        <v>161</v>
      </c>
      <c r="I3" t="s">
        <v>162</v>
      </c>
      <c r="L3" s="1" t="s">
        <v>159</v>
      </c>
      <c r="M3" s="1" t="s">
        <v>146</v>
      </c>
    </row>
    <row r="4" spans="1:15" x14ac:dyDescent="0.45">
      <c r="A4" s="2" t="s">
        <v>31</v>
      </c>
      <c r="B4">
        <v>34</v>
      </c>
      <c r="F4" s="2">
        <v>2</v>
      </c>
      <c r="H4">
        <v>1</v>
      </c>
      <c r="L4" s="1" t="s">
        <v>145</v>
      </c>
      <c r="M4" t="s">
        <v>160</v>
      </c>
      <c r="N4" t="s">
        <v>161</v>
      </c>
      <c r="O4" t="s">
        <v>162</v>
      </c>
    </row>
    <row r="5" spans="1:15" x14ac:dyDescent="0.45">
      <c r="A5" s="2" t="s">
        <v>48</v>
      </c>
      <c r="B5">
        <v>8</v>
      </c>
      <c r="C5">
        <v>19</v>
      </c>
      <c r="F5" s="2">
        <v>3</v>
      </c>
      <c r="H5">
        <v>16</v>
      </c>
      <c r="L5" s="2" t="s">
        <v>32</v>
      </c>
      <c r="M5">
        <v>96</v>
      </c>
      <c r="N5">
        <v>24</v>
      </c>
      <c r="O5">
        <v>3</v>
      </c>
    </row>
    <row r="6" spans="1:15" x14ac:dyDescent="0.45">
      <c r="A6" s="2" t="s">
        <v>40</v>
      </c>
      <c r="B6">
        <v>27</v>
      </c>
      <c r="F6" s="2">
        <v>4</v>
      </c>
      <c r="G6">
        <v>3</v>
      </c>
      <c r="H6">
        <v>80</v>
      </c>
      <c r="L6" s="2" t="s">
        <v>16</v>
      </c>
      <c r="M6">
        <v>195</v>
      </c>
      <c r="N6">
        <v>39</v>
      </c>
      <c r="O6">
        <v>15</v>
      </c>
    </row>
    <row r="7" spans="1:15" x14ac:dyDescent="0.45">
      <c r="A7" s="2" t="s">
        <v>21</v>
      </c>
      <c r="B7">
        <v>44</v>
      </c>
      <c r="C7">
        <v>1</v>
      </c>
      <c r="D7">
        <v>8</v>
      </c>
      <c r="F7" s="2">
        <v>5</v>
      </c>
      <c r="G7">
        <v>127</v>
      </c>
      <c r="H7">
        <v>9</v>
      </c>
      <c r="L7" s="2" t="s">
        <v>26</v>
      </c>
      <c r="M7">
        <v>143</v>
      </c>
      <c r="N7">
        <v>1</v>
      </c>
      <c r="O7">
        <v>10</v>
      </c>
    </row>
    <row r="8" spans="1:15" x14ac:dyDescent="0.45">
      <c r="A8" s="2" t="s">
        <v>55</v>
      </c>
      <c r="B8">
        <v>27</v>
      </c>
      <c r="F8" s="2">
        <v>6</v>
      </c>
      <c r="G8">
        <v>61</v>
      </c>
      <c r="L8" s="2" t="s">
        <v>22</v>
      </c>
      <c r="M8">
        <v>20</v>
      </c>
      <c r="N8">
        <v>10</v>
      </c>
    </row>
    <row r="9" spans="1:15" x14ac:dyDescent="0.45">
      <c r="A9" s="2" t="s">
        <v>43</v>
      </c>
      <c r="B9">
        <v>27</v>
      </c>
      <c r="F9" s="2">
        <v>7</v>
      </c>
      <c r="G9">
        <v>209</v>
      </c>
      <c r="L9" s="2" t="s">
        <v>143</v>
      </c>
      <c r="M9">
        <v>54</v>
      </c>
    </row>
    <row r="10" spans="1:15" x14ac:dyDescent="0.45">
      <c r="A10" s="2" t="s">
        <v>41</v>
      </c>
      <c r="B10">
        <v>27</v>
      </c>
      <c r="F10" s="2">
        <v>8</v>
      </c>
      <c r="G10">
        <v>143</v>
      </c>
      <c r="I10">
        <v>1</v>
      </c>
    </row>
    <row r="11" spans="1:15" x14ac:dyDescent="0.45">
      <c r="A11" s="2" t="s">
        <v>51</v>
      </c>
      <c r="B11">
        <v>8</v>
      </c>
      <c r="C11">
        <v>19</v>
      </c>
      <c r="F11" s="2">
        <v>9</v>
      </c>
      <c r="G11">
        <v>27</v>
      </c>
      <c r="I11">
        <v>28</v>
      </c>
    </row>
    <row r="12" spans="1:15" x14ac:dyDescent="0.45">
      <c r="A12" s="2" t="s">
        <v>65</v>
      </c>
      <c r="B12">
        <v>27</v>
      </c>
    </row>
    <row r="13" spans="1:15" x14ac:dyDescent="0.45">
      <c r="A13" s="2" t="s">
        <v>25</v>
      </c>
      <c r="B13">
        <v>28</v>
      </c>
      <c r="D13">
        <v>12</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41E1-7BF9-45D2-847E-F7B694CFF9FC}">
  <dimension ref="A1:U32"/>
  <sheetViews>
    <sheetView workbookViewId="0">
      <selection activeCell="U32" sqref="A1:U32"/>
    </sheetView>
  </sheetViews>
  <sheetFormatPr defaultRowHeight="14.25" x14ac:dyDescent="0.45"/>
  <sheetData>
    <row r="1" spans="1:21" ht="31.15" thickBot="1" x14ac:dyDescent="0.95">
      <c r="A1" s="14" t="s">
        <v>172</v>
      </c>
      <c r="B1" s="15"/>
      <c r="C1" s="15"/>
      <c r="D1" s="15"/>
      <c r="E1" s="15"/>
      <c r="F1" s="15"/>
      <c r="G1" s="15"/>
      <c r="H1" s="15"/>
      <c r="I1" s="15"/>
      <c r="J1" s="15"/>
      <c r="K1" s="15"/>
      <c r="L1" s="15"/>
      <c r="M1" s="15"/>
      <c r="N1" s="15"/>
      <c r="O1" s="15"/>
      <c r="P1" s="15"/>
      <c r="Q1" s="15"/>
      <c r="R1" s="15"/>
      <c r="S1" s="15"/>
      <c r="T1" s="15"/>
      <c r="U1" s="15"/>
    </row>
    <row r="2" spans="1:21" x14ac:dyDescent="0.45">
      <c r="A2" s="4"/>
      <c r="B2" s="4"/>
      <c r="C2" s="4"/>
      <c r="D2" s="4"/>
      <c r="E2" s="4"/>
      <c r="F2" s="4"/>
      <c r="G2" s="4"/>
      <c r="H2" s="4"/>
      <c r="I2" s="4"/>
      <c r="J2" s="4"/>
      <c r="K2" s="4"/>
      <c r="L2" s="4"/>
      <c r="M2" s="4"/>
      <c r="N2" s="4"/>
      <c r="O2" s="4"/>
      <c r="P2" s="4"/>
      <c r="Q2" s="4"/>
      <c r="R2" s="4"/>
      <c r="S2" s="4"/>
      <c r="T2" s="4"/>
      <c r="U2" s="4"/>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x14ac:dyDescent="0.45">
      <c r="A8" s="4"/>
      <c r="B8" s="4"/>
      <c r="C8" s="4"/>
      <c r="D8" s="4"/>
      <c r="E8" s="4"/>
      <c r="F8" s="4"/>
      <c r="G8" s="4"/>
      <c r="H8" s="4"/>
      <c r="I8" s="4"/>
      <c r="J8" s="4"/>
      <c r="K8" s="4"/>
      <c r="L8" s="4"/>
      <c r="M8" s="4"/>
      <c r="N8" s="4"/>
      <c r="O8" s="4"/>
      <c r="P8" s="4"/>
      <c r="Q8" s="4"/>
      <c r="R8" s="4"/>
      <c r="S8" s="4"/>
      <c r="T8" s="4"/>
      <c r="U8" s="4"/>
    </row>
    <row r="9" spans="1:2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4"/>
      <c r="T10" s="4"/>
      <c r="U10" s="4"/>
    </row>
    <row r="11" spans="1:21" x14ac:dyDescent="0.45">
      <c r="A11" s="4"/>
      <c r="B11" s="4"/>
      <c r="C11" s="4"/>
      <c r="D11" s="4"/>
      <c r="E11" s="4"/>
      <c r="F11" s="4"/>
      <c r="G11" s="4"/>
      <c r="H11" s="4"/>
      <c r="I11" s="4"/>
      <c r="J11" s="4"/>
      <c r="K11" s="4"/>
      <c r="L11" s="4"/>
      <c r="M11" s="4"/>
      <c r="N11" s="4"/>
      <c r="O11" s="4"/>
      <c r="P11" s="4"/>
      <c r="Q11" s="4"/>
      <c r="R11" s="4"/>
      <c r="S11" s="4"/>
      <c r="T11" s="4"/>
      <c r="U11" s="4"/>
    </row>
    <row r="12" spans="1:21" x14ac:dyDescent="0.45">
      <c r="A12" s="4"/>
      <c r="B12" s="4"/>
      <c r="C12" s="4"/>
      <c r="D12" s="4"/>
      <c r="E12" s="4"/>
      <c r="F12" s="4"/>
      <c r="G12" s="4"/>
      <c r="H12" s="4"/>
      <c r="I12" s="4"/>
      <c r="J12" s="4"/>
      <c r="K12" s="4"/>
      <c r="L12" s="4"/>
      <c r="M12" s="4"/>
      <c r="N12" s="4"/>
      <c r="O12" s="4"/>
      <c r="P12" s="4"/>
      <c r="Q12" s="4"/>
      <c r="R12" s="4"/>
      <c r="S12" s="4"/>
      <c r="T12" s="4"/>
      <c r="U12" s="4"/>
    </row>
    <row r="13" spans="1:21" x14ac:dyDescent="0.45">
      <c r="A13" s="4"/>
      <c r="B13" s="4"/>
      <c r="C13" s="4"/>
      <c r="D13" s="4"/>
      <c r="E13" s="4"/>
      <c r="F13" s="4"/>
      <c r="G13" s="4"/>
      <c r="H13" s="4"/>
      <c r="I13" s="4"/>
      <c r="J13" s="4"/>
      <c r="K13" s="4"/>
      <c r="L13" s="4"/>
      <c r="M13" s="4"/>
      <c r="N13" s="4"/>
      <c r="O13" s="4"/>
      <c r="P13" s="4"/>
      <c r="Q13" s="4"/>
      <c r="R13" s="4"/>
      <c r="S13" s="4"/>
      <c r="T13" s="4"/>
      <c r="U13" s="4"/>
    </row>
    <row r="14" spans="1:21" x14ac:dyDescent="0.45">
      <c r="A14" s="4"/>
      <c r="B14" s="4"/>
      <c r="C14" s="4"/>
      <c r="D14" s="4"/>
      <c r="E14" s="4"/>
      <c r="F14" s="4"/>
      <c r="G14" s="4"/>
      <c r="H14" s="4"/>
      <c r="I14" s="4"/>
      <c r="J14" s="4"/>
      <c r="K14" s="4"/>
      <c r="L14" s="4"/>
      <c r="M14" s="4"/>
      <c r="N14" s="4"/>
      <c r="O14" s="4"/>
      <c r="P14" s="4"/>
      <c r="Q14" s="4"/>
      <c r="R14" s="4"/>
      <c r="S14" s="4"/>
      <c r="T14" s="4"/>
      <c r="U14" s="4"/>
    </row>
    <row r="15" spans="1:21" x14ac:dyDescent="0.45">
      <c r="A15" s="4"/>
      <c r="B15" s="4"/>
      <c r="C15" s="4"/>
      <c r="D15" s="4"/>
      <c r="E15" s="4"/>
      <c r="F15" s="4"/>
      <c r="G15" s="4"/>
      <c r="H15" s="4"/>
      <c r="I15" s="4"/>
      <c r="J15" s="4"/>
      <c r="K15" s="4"/>
      <c r="L15" s="4"/>
      <c r="M15" s="4"/>
      <c r="N15" s="4"/>
      <c r="O15" s="4"/>
      <c r="P15" s="4"/>
      <c r="Q15" s="4"/>
      <c r="R15" s="4"/>
      <c r="S15" s="4"/>
      <c r="T15" s="4"/>
      <c r="U15" s="4"/>
    </row>
    <row r="16" spans="1:21" x14ac:dyDescent="0.45">
      <c r="A16" s="4"/>
      <c r="B16" s="4"/>
      <c r="C16" s="4"/>
      <c r="D16" s="4"/>
      <c r="E16" s="4"/>
      <c r="F16" s="4"/>
      <c r="G16" s="4"/>
      <c r="H16" s="4"/>
      <c r="I16" s="4"/>
      <c r="J16" s="4"/>
      <c r="K16" s="4"/>
      <c r="L16" s="4"/>
      <c r="M16" s="4"/>
      <c r="N16" s="4"/>
      <c r="O16" s="4"/>
      <c r="P16" s="4"/>
      <c r="Q16" s="4"/>
      <c r="R16" s="4"/>
      <c r="S16" s="4"/>
      <c r="T16" s="4"/>
      <c r="U16" s="4"/>
    </row>
    <row r="17" spans="1:21" x14ac:dyDescent="0.45">
      <c r="A17" s="4"/>
      <c r="B17" s="4"/>
      <c r="C17" s="4"/>
      <c r="D17" s="4"/>
      <c r="E17" s="4"/>
      <c r="F17" s="4"/>
      <c r="G17" s="4"/>
      <c r="H17" s="4"/>
      <c r="I17" s="4"/>
      <c r="J17" s="4"/>
      <c r="K17" s="4"/>
      <c r="L17" s="4"/>
      <c r="M17" s="4"/>
      <c r="N17" s="4"/>
      <c r="O17" s="4"/>
      <c r="P17" s="4"/>
      <c r="Q17" s="4"/>
      <c r="R17" s="4"/>
      <c r="S17" s="4"/>
      <c r="T17" s="4"/>
      <c r="U17" s="4"/>
    </row>
    <row r="18" spans="1:21" x14ac:dyDescent="0.45">
      <c r="A18" s="4"/>
      <c r="B18" s="4"/>
      <c r="C18" s="4"/>
      <c r="D18" s="4"/>
      <c r="E18" s="4"/>
      <c r="F18" s="4"/>
      <c r="G18" s="4"/>
      <c r="H18" s="4"/>
      <c r="I18" s="4"/>
      <c r="J18" s="4"/>
      <c r="K18" s="4"/>
      <c r="L18" s="4"/>
      <c r="M18" s="4"/>
      <c r="N18" s="4"/>
      <c r="O18" s="4"/>
      <c r="P18" s="4"/>
      <c r="Q18" s="4"/>
      <c r="R18" s="4"/>
      <c r="S18" s="4"/>
      <c r="T18" s="4"/>
      <c r="U18" s="4"/>
    </row>
    <row r="19" spans="1:21" x14ac:dyDescent="0.45">
      <c r="A19" s="4"/>
      <c r="B19" s="4"/>
      <c r="C19" s="4"/>
      <c r="D19" s="4"/>
      <c r="E19" s="4"/>
      <c r="F19" s="4"/>
      <c r="G19" s="4"/>
      <c r="H19" s="4"/>
      <c r="I19" s="4"/>
      <c r="J19" s="4"/>
      <c r="K19" s="4"/>
      <c r="L19" s="4"/>
      <c r="M19" s="4"/>
      <c r="N19" s="4"/>
      <c r="O19" s="4"/>
      <c r="P19" s="4"/>
      <c r="Q19" s="4"/>
      <c r="R19" s="4"/>
      <c r="S19" s="4"/>
      <c r="T19" s="4"/>
      <c r="U19" s="4"/>
    </row>
    <row r="20" spans="1:21" x14ac:dyDescent="0.45">
      <c r="A20" s="4"/>
      <c r="B20" s="4"/>
      <c r="C20" s="4"/>
      <c r="D20" s="4"/>
      <c r="E20" s="4"/>
      <c r="F20" s="4"/>
      <c r="G20" s="4"/>
      <c r="H20" s="4"/>
      <c r="I20" s="4"/>
      <c r="J20" s="4"/>
      <c r="K20" s="4"/>
      <c r="L20" s="4"/>
      <c r="M20" s="4"/>
      <c r="N20" s="4"/>
      <c r="O20" s="4"/>
      <c r="P20" s="4"/>
      <c r="Q20" s="4"/>
      <c r="R20" s="4"/>
      <c r="S20" s="4"/>
      <c r="T20" s="4"/>
      <c r="U20" s="4"/>
    </row>
    <row r="21" spans="1:21" x14ac:dyDescent="0.45">
      <c r="A21" s="4"/>
      <c r="B21" s="4"/>
      <c r="C21" s="4"/>
      <c r="D21" s="4"/>
      <c r="E21" s="4"/>
      <c r="F21" s="4"/>
      <c r="G21" s="4"/>
      <c r="H21" s="4"/>
      <c r="I21" s="4"/>
      <c r="J21" s="4"/>
      <c r="K21" s="4"/>
      <c r="L21" s="4"/>
      <c r="M21" s="4"/>
      <c r="N21" s="4"/>
      <c r="O21" s="4"/>
      <c r="P21" s="4"/>
      <c r="Q21" s="4"/>
      <c r="R21" s="4"/>
      <c r="S21" s="4"/>
      <c r="T21" s="4"/>
      <c r="U21" s="4"/>
    </row>
    <row r="22" spans="1:21" x14ac:dyDescent="0.45">
      <c r="A22" s="4"/>
      <c r="B22" s="4"/>
      <c r="C22" s="4"/>
      <c r="D22" s="4"/>
      <c r="E22" s="4"/>
      <c r="F22" s="4"/>
      <c r="G22" s="4"/>
      <c r="H22" s="4"/>
      <c r="I22" s="4"/>
      <c r="J22" s="4"/>
      <c r="K22" s="4"/>
      <c r="L22" s="4"/>
      <c r="M22" s="4"/>
      <c r="N22" s="4"/>
      <c r="O22" s="4"/>
      <c r="P22" s="4"/>
      <c r="Q22" s="4"/>
      <c r="R22" s="4"/>
      <c r="S22" s="4"/>
      <c r="T22" s="4"/>
      <c r="U22" s="4"/>
    </row>
    <row r="23" spans="1:21" x14ac:dyDescent="0.45">
      <c r="A23" s="4"/>
      <c r="B23" s="4"/>
      <c r="C23" s="4"/>
      <c r="D23" s="4"/>
      <c r="E23" s="4"/>
      <c r="F23" s="4"/>
      <c r="G23" s="4"/>
      <c r="H23" s="4"/>
      <c r="I23" s="4"/>
      <c r="J23" s="4"/>
      <c r="K23" s="4"/>
      <c r="L23" s="4"/>
      <c r="M23" s="4"/>
      <c r="N23" s="4"/>
      <c r="O23" s="4"/>
      <c r="P23" s="4"/>
      <c r="Q23" s="4"/>
      <c r="R23" s="4"/>
      <c r="S23" s="4"/>
      <c r="T23" s="4"/>
      <c r="U23" s="4"/>
    </row>
    <row r="24" spans="1:21" x14ac:dyDescent="0.45">
      <c r="A24" s="4"/>
      <c r="B24" s="4"/>
      <c r="C24" s="4"/>
      <c r="D24" s="4"/>
      <c r="E24" s="4"/>
      <c r="F24" s="4"/>
      <c r="G24" s="4"/>
      <c r="H24" s="4"/>
      <c r="I24" s="4"/>
      <c r="J24" s="4"/>
      <c r="K24" s="4"/>
      <c r="L24" s="4"/>
      <c r="M24" s="4"/>
      <c r="N24" s="4"/>
      <c r="O24" s="4"/>
      <c r="P24" s="4"/>
      <c r="Q24" s="4"/>
      <c r="R24" s="4"/>
      <c r="S24" s="4"/>
      <c r="T24" s="4"/>
      <c r="U24" s="4"/>
    </row>
    <row r="25" spans="1:21" x14ac:dyDescent="0.45">
      <c r="A25" s="4"/>
      <c r="B25" s="4"/>
      <c r="C25" s="4"/>
      <c r="D25" s="4"/>
      <c r="E25" s="4"/>
      <c r="F25" s="4"/>
      <c r="G25" s="4"/>
      <c r="H25" s="4"/>
      <c r="I25" s="4"/>
      <c r="J25" s="4"/>
      <c r="K25" s="4"/>
      <c r="L25" s="4"/>
      <c r="M25" s="4"/>
      <c r="N25" s="4"/>
      <c r="O25" s="4"/>
      <c r="P25" s="4"/>
      <c r="Q25" s="4"/>
      <c r="R25" s="4"/>
      <c r="S25" s="4"/>
      <c r="T25" s="4"/>
      <c r="U25" s="4"/>
    </row>
    <row r="26" spans="1:21" x14ac:dyDescent="0.45">
      <c r="A26" s="4"/>
      <c r="B26" s="4"/>
      <c r="C26" s="4"/>
      <c r="D26" s="4"/>
      <c r="E26" s="4"/>
      <c r="F26" s="4"/>
      <c r="G26" s="4"/>
      <c r="H26" s="4"/>
      <c r="I26" s="4"/>
      <c r="J26" s="4"/>
      <c r="K26" s="4"/>
      <c r="L26" s="4"/>
      <c r="M26" s="4"/>
      <c r="N26" s="4"/>
      <c r="O26" s="4"/>
      <c r="P26" s="4"/>
      <c r="Q26" s="4"/>
      <c r="R26" s="4"/>
      <c r="S26" s="4"/>
      <c r="T26" s="4"/>
      <c r="U26" s="4"/>
    </row>
    <row r="27" spans="1:21" x14ac:dyDescent="0.45">
      <c r="A27" s="4"/>
      <c r="B27" s="4"/>
      <c r="C27" s="4"/>
      <c r="D27" s="4"/>
      <c r="E27" s="4"/>
      <c r="F27" s="4"/>
      <c r="G27" s="4"/>
      <c r="H27" s="4"/>
      <c r="I27" s="4"/>
      <c r="J27" s="4"/>
      <c r="K27" s="4"/>
      <c r="L27" s="4"/>
      <c r="M27" s="4"/>
      <c r="N27" s="4"/>
      <c r="O27" s="4"/>
      <c r="P27" s="4"/>
      <c r="Q27" s="4"/>
      <c r="R27" s="4"/>
      <c r="S27" s="4"/>
      <c r="T27" s="4"/>
      <c r="U27" s="4"/>
    </row>
    <row r="28" spans="1:21" x14ac:dyDescent="0.45">
      <c r="A28" s="4"/>
      <c r="B28" s="4"/>
      <c r="C28" s="4"/>
      <c r="D28" s="4"/>
      <c r="E28" s="4"/>
      <c r="F28" s="4"/>
      <c r="G28" s="4"/>
      <c r="H28" s="4"/>
      <c r="I28" s="4"/>
      <c r="J28" s="4"/>
      <c r="K28" s="4"/>
      <c r="L28" s="4"/>
      <c r="M28" s="4"/>
      <c r="N28" s="4"/>
      <c r="O28" s="4"/>
      <c r="P28" s="4"/>
      <c r="Q28" s="4"/>
      <c r="R28" s="4"/>
      <c r="S28" s="4"/>
      <c r="T28" s="4"/>
      <c r="U28" s="4"/>
    </row>
    <row r="29" spans="1:21" x14ac:dyDescent="0.45">
      <c r="A29" s="4"/>
      <c r="B29" s="4"/>
      <c r="C29" s="4"/>
      <c r="D29" s="4"/>
      <c r="E29" s="4"/>
      <c r="F29" s="4"/>
      <c r="G29" s="4"/>
      <c r="H29" s="4"/>
      <c r="I29" s="4"/>
      <c r="J29" s="4"/>
      <c r="K29" s="4"/>
      <c r="L29" s="4"/>
      <c r="M29" s="4"/>
      <c r="N29" s="4"/>
      <c r="O29" s="4"/>
      <c r="P29" s="4"/>
      <c r="Q29" s="4"/>
      <c r="R29" s="4"/>
      <c r="S29" s="4"/>
      <c r="T29" s="4"/>
      <c r="U29" s="4"/>
    </row>
    <row r="30" spans="1:21" x14ac:dyDescent="0.45">
      <c r="A30" s="4"/>
      <c r="B30" s="4"/>
      <c r="C30" s="4"/>
      <c r="D30" s="4"/>
      <c r="E30" s="4"/>
      <c r="F30" s="4"/>
      <c r="G30" s="4"/>
      <c r="H30" s="4"/>
      <c r="I30" s="4"/>
      <c r="J30" s="4"/>
      <c r="K30" s="4"/>
      <c r="L30" s="4"/>
      <c r="M30" s="4"/>
      <c r="N30" s="4"/>
      <c r="O30" s="4"/>
      <c r="P30" s="4"/>
      <c r="Q30" s="4"/>
      <c r="R30" s="4"/>
      <c r="S30" s="4"/>
      <c r="T30" s="4"/>
      <c r="U30" s="4"/>
    </row>
    <row r="31" spans="1:21" x14ac:dyDescent="0.45">
      <c r="A31" s="4"/>
      <c r="B31" s="4"/>
      <c r="C31" s="4"/>
      <c r="D31" s="4"/>
      <c r="E31" s="4"/>
      <c r="F31" s="4"/>
      <c r="G31" s="4"/>
      <c r="H31" s="4"/>
      <c r="I31" s="4"/>
      <c r="J31" s="4"/>
      <c r="K31" s="4"/>
      <c r="L31" s="4"/>
      <c r="M31" s="4"/>
      <c r="N31" s="4"/>
      <c r="O31" s="4"/>
      <c r="P31" s="4"/>
      <c r="Q31" s="4"/>
      <c r="R31" s="4"/>
      <c r="S31" s="4"/>
      <c r="T31" s="4"/>
      <c r="U31" s="4"/>
    </row>
    <row r="32" spans="1:21" x14ac:dyDescent="0.45">
      <c r="A32" s="4"/>
      <c r="B32" s="4"/>
      <c r="C32" s="4"/>
      <c r="D32" s="4"/>
      <c r="E32" s="4"/>
      <c r="F32" s="4"/>
      <c r="G32" s="4"/>
      <c r="H32" s="4"/>
      <c r="I32" s="4"/>
      <c r="J32" s="4"/>
      <c r="K32" s="4"/>
      <c r="L32" s="4"/>
      <c r="M32" s="4"/>
      <c r="N32" s="4"/>
      <c r="O32" s="4"/>
      <c r="P32" s="4"/>
      <c r="Q32" s="4"/>
      <c r="R32" s="4"/>
      <c r="S32" s="4"/>
      <c r="T32" s="4"/>
      <c r="U32" s="4"/>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02AF-67A5-42EB-99BC-C534144DEE33}">
  <dimension ref="A1:V5"/>
  <sheetViews>
    <sheetView topLeftCell="E1" workbookViewId="0">
      <selection activeCell="E1" sqref="E1"/>
    </sheetView>
  </sheetViews>
  <sheetFormatPr defaultRowHeight="14.25" x14ac:dyDescent="0.45"/>
  <cols>
    <col min="1" max="1" width="12.3984375" bestFit="1" customWidth="1"/>
    <col min="2" max="2" width="32" bestFit="1" customWidth="1"/>
    <col min="3" max="3" width="34.86328125" customWidth="1"/>
    <col min="5" max="5" width="24.53125" bestFit="1" customWidth="1"/>
    <col min="6" max="6" width="14.73046875" bestFit="1" customWidth="1"/>
    <col min="7" max="7" width="4.1328125" bestFit="1" customWidth="1"/>
    <col min="8" max="8" width="7.59765625" bestFit="1" customWidth="1"/>
    <col min="9" max="10" width="2.73046875" bestFit="1" customWidth="1"/>
    <col min="11" max="11" width="3.73046875" bestFit="1" customWidth="1"/>
    <col min="12" max="13" width="2.73046875" bestFit="1" customWidth="1"/>
    <col min="14" max="14" width="10.19921875" bestFit="1" customWidth="1"/>
    <col min="16" max="16" width="32" bestFit="1" customWidth="1"/>
    <col min="17" max="17" width="14.73046875" bestFit="1" customWidth="1"/>
    <col min="18" max="18" width="2.73046875" bestFit="1" customWidth="1"/>
    <col min="19" max="20" width="3.73046875" bestFit="1" customWidth="1"/>
    <col min="21" max="22" width="2.73046875" bestFit="1" customWidth="1"/>
    <col min="23" max="23" width="10.19921875" bestFit="1" customWidth="1"/>
  </cols>
  <sheetData>
    <row r="1" spans="1:22" x14ac:dyDescent="0.45">
      <c r="A1" s="1" t="s">
        <v>145</v>
      </c>
      <c r="B1" t="s">
        <v>165</v>
      </c>
      <c r="C1" t="s">
        <v>174</v>
      </c>
      <c r="E1" s="1" t="s">
        <v>166</v>
      </c>
      <c r="F1" s="1" t="s">
        <v>146</v>
      </c>
      <c r="P1" s="1" t="s">
        <v>165</v>
      </c>
      <c r="Q1" s="1" t="s">
        <v>146</v>
      </c>
    </row>
    <row r="2" spans="1:22" x14ac:dyDescent="0.45">
      <c r="A2" s="2" t="s">
        <v>27</v>
      </c>
      <c r="B2">
        <v>32</v>
      </c>
      <c r="C2" s="3">
        <v>3.03125</v>
      </c>
      <c r="E2" s="1" t="s">
        <v>145</v>
      </c>
      <c r="F2" t="s">
        <v>153</v>
      </c>
      <c r="G2" t="s">
        <v>164</v>
      </c>
      <c r="H2" t="s">
        <v>154</v>
      </c>
      <c r="P2" s="1" t="s">
        <v>145</v>
      </c>
      <c r="Q2">
        <v>0</v>
      </c>
      <c r="R2">
        <v>1</v>
      </c>
      <c r="S2">
        <v>2</v>
      </c>
      <c r="T2">
        <v>3</v>
      </c>
      <c r="U2">
        <v>4</v>
      </c>
      <c r="V2">
        <v>5</v>
      </c>
    </row>
    <row r="3" spans="1:22" x14ac:dyDescent="0.45">
      <c r="A3" s="2" t="s">
        <v>18</v>
      </c>
      <c r="B3">
        <v>289</v>
      </c>
      <c r="C3" s="3">
        <v>2.7612456747404845</v>
      </c>
      <c r="E3" s="2" t="s">
        <v>27</v>
      </c>
      <c r="F3">
        <v>24</v>
      </c>
      <c r="H3">
        <v>8</v>
      </c>
      <c r="P3" s="2" t="s">
        <v>27</v>
      </c>
      <c r="R3">
        <v>4</v>
      </c>
      <c r="S3">
        <v>4</v>
      </c>
      <c r="T3">
        <v>12</v>
      </c>
      <c r="U3">
        <v>11</v>
      </c>
      <c r="V3">
        <v>1</v>
      </c>
    </row>
    <row r="4" spans="1:22" x14ac:dyDescent="0.45">
      <c r="A4" s="2" t="s">
        <v>24</v>
      </c>
      <c r="B4">
        <v>384</v>
      </c>
      <c r="C4" s="3">
        <v>2.9010416666666665</v>
      </c>
      <c r="E4" s="2" t="s">
        <v>18</v>
      </c>
      <c r="F4">
        <v>142</v>
      </c>
      <c r="G4">
        <v>1</v>
      </c>
      <c r="H4">
        <v>146</v>
      </c>
      <c r="P4" s="2" t="s">
        <v>18</v>
      </c>
      <c r="R4">
        <v>13</v>
      </c>
      <c r="S4">
        <v>123</v>
      </c>
      <c r="T4">
        <v>73</v>
      </c>
      <c r="U4">
        <v>80</v>
      </c>
    </row>
    <row r="5" spans="1:22" x14ac:dyDescent="0.45">
      <c r="E5" s="2" t="s">
        <v>24</v>
      </c>
      <c r="F5">
        <v>242</v>
      </c>
      <c r="G5">
        <v>16</v>
      </c>
      <c r="H5">
        <v>126</v>
      </c>
      <c r="P5" s="2" t="s">
        <v>24</v>
      </c>
      <c r="Q5">
        <v>4</v>
      </c>
      <c r="R5">
        <v>30</v>
      </c>
      <c r="S5">
        <v>77</v>
      </c>
      <c r="T5">
        <v>176</v>
      </c>
      <c r="U5">
        <v>83</v>
      </c>
      <c r="V5">
        <v>14</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B728-C4DA-43A9-85B3-D78B9F9F1C2A}">
  <dimension ref="A1:U32"/>
  <sheetViews>
    <sheetView topLeftCell="B1" zoomScale="75" workbookViewId="0">
      <selection activeCell="W30" sqref="W30"/>
    </sheetView>
  </sheetViews>
  <sheetFormatPr defaultRowHeight="14.25" x14ac:dyDescent="0.45"/>
  <sheetData>
    <row r="1" spans="1:21" ht="31.15" thickBot="1" x14ac:dyDescent="0.95">
      <c r="A1" s="14" t="s">
        <v>173</v>
      </c>
      <c r="B1" s="15"/>
      <c r="C1" s="15"/>
      <c r="D1" s="15"/>
      <c r="E1" s="15"/>
      <c r="F1" s="15"/>
      <c r="G1" s="15"/>
      <c r="H1" s="15"/>
      <c r="I1" s="15"/>
      <c r="J1" s="15"/>
      <c r="K1" s="15"/>
      <c r="L1" s="15"/>
      <c r="M1" s="15"/>
      <c r="N1" s="15"/>
      <c r="O1" s="15"/>
      <c r="P1" s="15"/>
      <c r="Q1" s="15"/>
      <c r="R1" s="15"/>
      <c r="S1" s="15"/>
      <c r="T1" s="15"/>
      <c r="U1" s="15"/>
    </row>
    <row r="2" spans="1:21" x14ac:dyDescent="0.45">
      <c r="A2" s="4"/>
      <c r="B2" s="4"/>
      <c r="C2" s="4"/>
      <c r="D2" s="4"/>
      <c r="E2" s="4"/>
      <c r="F2" s="4"/>
      <c r="G2" s="4"/>
      <c r="H2" s="4"/>
      <c r="I2" s="4"/>
      <c r="J2" s="4"/>
      <c r="K2" s="4"/>
      <c r="L2" s="4"/>
      <c r="M2" s="4"/>
      <c r="N2" s="4"/>
      <c r="O2" s="4"/>
      <c r="P2" s="4"/>
      <c r="Q2" s="4"/>
      <c r="R2" s="4"/>
      <c r="S2" s="4"/>
      <c r="T2" s="4"/>
      <c r="U2" s="4"/>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x14ac:dyDescent="0.45">
      <c r="A8" s="4"/>
      <c r="B8" s="4"/>
      <c r="C8" s="4"/>
      <c r="D8" s="4"/>
      <c r="E8" s="4"/>
      <c r="F8" s="4"/>
      <c r="G8" s="4"/>
      <c r="H8" s="4"/>
      <c r="I8" s="4"/>
      <c r="J8" s="4"/>
      <c r="K8" s="4"/>
      <c r="L8" s="4"/>
      <c r="M8" s="4"/>
      <c r="N8" s="4"/>
      <c r="O8" s="4"/>
      <c r="P8" s="4"/>
      <c r="Q8" s="4"/>
      <c r="R8" s="4"/>
      <c r="S8" s="4"/>
      <c r="T8" s="4"/>
      <c r="U8" s="4"/>
    </row>
    <row r="9" spans="1:2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4"/>
      <c r="T10" s="4"/>
      <c r="U10" s="4"/>
    </row>
    <row r="11" spans="1:21" x14ac:dyDescent="0.45">
      <c r="A11" s="4"/>
      <c r="B11" s="4"/>
      <c r="C11" s="4"/>
      <c r="D11" s="4"/>
      <c r="E11" s="4"/>
      <c r="F11" s="4"/>
      <c r="G11" s="4"/>
      <c r="H11" s="4"/>
      <c r="I11" s="4"/>
      <c r="J11" s="4"/>
      <c r="K11" s="4"/>
      <c r="L11" s="4"/>
      <c r="M11" s="4"/>
      <c r="N11" s="4"/>
      <c r="O11" s="4"/>
      <c r="P11" s="4"/>
      <c r="Q11" s="4"/>
      <c r="R11" s="4"/>
      <c r="S11" s="4"/>
      <c r="T11" s="4"/>
      <c r="U11" s="4"/>
    </row>
    <row r="12" spans="1:21" x14ac:dyDescent="0.45">
      <c r="A12" s="4"/>
      <c r="B12" s="4"/>
      <c r="C12" s="4"/>
      <c r="D12" s="4"/>
      <c r="E12" s="4"/>
      <c r="F12" s="4"/>
      <c r="G12" s="4"/>
      <c r="H12" s="4"/>
      <c r="I12" s="4"/>
      <c r="J12" s="4"/>
      <c r="K12" s="4"/>
      <c r="L12" s="4"/>
      <c r="M12" s="4"/>
      <c r="N12" s="4"/>
      <c r="O12" s="4"/>
      <c r="P12" s="4"/>
      <c r="Q12" s="4"/>
      <c r="R12" s="4"/>
      <c r="S12" s="4"/>
      <c r="T12" s="4"/>
      <c r="U12" s="4"/>
    </row>
    <row r="13" spans="1:21" x14ac:dyDescent="0.45">
      <c r="A13" s="4"/>
      <c r="B13" s="4"/>
      <c r="C13" s="4"/>
      <c r="D13" s="4"/>
      <c r="E13" s="4"/>
      <c r="F13" s="4"/>
      <c r="G13" s="4"/>
      <c r="H13" s="4"/>
      <c r="I13" s="4"/>
      <c r="J13" s="4"/>
      <c r="K13" s="4"/>
      <c r="L13" s="4"/>
      <c r="M13" s="4"/>
      <c r="N13" s="4"/>
      <c r="O13" s="4"/>
      <c r="P13" s="4"/>
      <c r="Q13" s="4"/>
      <c r="R13" s="4"/>
      <c r="S13" s="4"/>
      <c r="T13" s="4"/>
      <c r="U13" s="4"/>
    </row>
    <row r="14" spans="1:21" x14ac:dyDescent="0.45">
      <c r="A14" s="4"/>
      <c r="B14" s="4"/>
      <c r="C14" s="4"/>
      <c r="D14" s="4"/>
      <c r="E14" s="4"/>
      <c r="F14" s="4"/>
      <c r="G14" s="4"/>
      <c r="H14" s="4"/>
      <c r="I14" s="4"/>
      <c r="J14" s="4"/>
      <c r="K14" s="4"/>
      <c r="L14" s="4"/>
      <c r="M14" s="4"/>
      <c r="N14" s="4"/>
      <c r="O14" s="4"/>
      <c r="P14" s="4"/>
      <c r="Q14" s="4"/>
      <c r="R14" s="4"/>
      <c r="S14" s="4"/>
      <c r="T14" s="4"/>
      <c r="U14" s="4"/>
    </row>
    <row r="15" spans="1:21" x14ac:dyDescent="0.45">
      <c r="A15" s="4"/>
      <c r="B15" s="4"/>
      <c r="C15" s="4"/>
      <c r="D15" s="4"/>
      <c r="E15" s="4"/>
      <c r="F15" s="4"/>
      <c r="G15" s="4"/>
      <c r="H15" s="4"/>
      <c r="I15" s="4"/>
      <c r="J15" s="4"/>
      <c r="K15" s="4"/>
      <c r="L15" s="4"/>
      <c r="M15" s="4"/>
      <c r="N15" s="4"/>
      <c r="O15" s="4"/>
      <c r="P15" s="4"/>
      <c r="Q15" s="4"/>
      <c r="R15" s="4"/>
      <c r="S15" s="4"/>
      <c r="T15" s="4"/>
      <c r="U15" s="4"/>
    </row>
    <row r="16" spans="1:21" x14ac:dyDescent="0.45">
      <c r="A16" s="4"/>
      <c r="B16" s="4"/>
      <c r="C16" s="4"/>
      <c r="D16" s="4"/>
      <c r="E16" s="4"/>
      <c r="F16" s="4"/>
      <c r="G16" s="4"/>
      <c r="H16" s="4"/>
      <c r="I16" s="4"/>
      <c r="J16" s="4"/>
      <c r="K16" s="4"/>
      <c r="L16" s="4"/>
      <c r="M16" s="4"/>
      <c r="N16" s="4"/>
      <c r="O16" s="4"/>
      <c r="P16" s="4"/>
      <c r="Q16" s="4"/>
      <c r="R16" s="4"/>
      <c r="S16" s="4"/>
      <c r="T16" s="4"/>
      <c r="U16" s="4"/>
    </row>
    <row r="17" spans="1:21" x14ac:dyDescent="0.45">
      <c r="A17" s="4"/>
      <c r="B17" s="4"/>
      <c r="C17" s="4"/>
      <c r="D17" s="4"/>
      <c r="E17" s="4"/>
      <c r="F17" s="4"/>
      <c r="G17" s="4"/>
      <c r="H17" s="4"/>
      <c r="I17" s="4"/>
      <c r="J17" s="4"/>
      <c r="K17" s="4"/>
      <c r="L17" s="4"/>
      <c r="M17" s="4"/>
      <c r="N17" s="4"/>
      <c r="O17" s="4"/>
      <c r="P17" s="4"/>
      <c r="Q17" s="4"/>
      <c r="R17" s="4"/>
      <c r="S17" s="4"/>
      <c r="T17" s="4"/>
      <c r="U17" s="4"/>
    </row>
    <row r="18" spans="1:21" x14ac:dyDescent="0.45">
      <c r="A18" s="4"/>
      <c r="B18" s="4"/>
      <c r="C18" s="4"/>
      <c r="D18" s="4"/>
      <c r="E18" s="4"/>
      <c r="F18" s="4"/>
      <c r="G18" s="4"/>
      <c r="H18" s="4"/>
      <c r="I18" s="4"/>
      <c r="J18" s="4"/>
      <c r="K18" s="4"/>
      <c r="L18" s="4"/>
      <c r="M18" s="4"/>
      <c r="N18" s="4"/>
      <c r="O18" s="4"/>
      <c r="P18" s="4"/>
      <c r="Q18" s="4"/>
      <c r="R18" s="4"/>
      <c r="S18" s="4"/>
      <c r="T18" s="4"/>
      <c r="U18" s="4"/>
    </row>
    <row r="19" spans="1:21" x14ac:dyDescent="0.45">
      <c r="A19" s="4"/>
      <c r="B19" s="4"/>
      <c r="C19" s="4"/>
      <c r="D19" s="4"/>
      <c r="E19" s="4"/>
      <c r="F19" s="4"/>
      <c r="G19" s="4"/>
      <c r="H19" s="4"/>
      <c r="I19" s="4"/>
      <c r="J19" s="4"/>
      <c r="K19" s="4"/>
      <c r="L19" s="4"/>
      <c r="M19" s="4"/>
      <c r="N19" s="4"/>
      <c r="O19" s="4"/>
      <c r="P19" s="4"/>
      <c r="Q19" s="4"/>
      <c r="R19" s="4"/>
      <c r="S19" s="4"/>
      <c r="T19" s="4"/>
      <c r="U19" s="4"/>
    </row>
    <row r="20" spans="1:21" x14ac:dyDescent="0.45">
      <c r="A20" s="4"/>
      <c r="B20" s="4"/>
      <c r="C20" s="4"/>
      <c r="D20" s="4"/>
      <c r="E20" s="4"/>
      <c r="F20" s="4"/>
      <c r="G20" s="4"/>
      <c r="H20" s="4"/>
      <c r="I20" s="4"/>
      <c r="J20" s="4"/>
      <c r="K20" s="4"/>
      <c r="L20" s="4"/>
      <c r="M20" s="4"/>
      <c r="N20" s="4"/>
      <c r="O20" s="4"/>
      <c r="P20" s="4"/>
      <c r="Q20" s="4"/>
      <c r="R20" s="4"/>
      <c r="S20" s="4"/>
      <c r="T20" s="4"/>
      <c r="U20" s="4"/>
    </row>
    <row r="21" spans="1:21" x14ac:dyDescent="0.45">
      <c r="A21" s="4"/>
      <c r="B21" s="4"/>
      <c r="C21" s="4"/>
      <c r="D21" s="4"/>
      <c r="E21" s="4"/>
      <c r="F21" s="4"/>
      <c r="G21" s="4"/>
      <c r="H21" s="4"/>
      <c r="I21" s="4"/>
      <c r="J21" s="4"/>
      <c r="K21" s="4"/>
      <c r="L21" s="4"/>
      <c r="M21" s="4"/>
      <c r="N21" s="4"/>
      <c r="O21" s="4"/>
      <c r="P21" s="4"/>
      <c r="Q21" s="4"/>
      <c r="R21" s="4"/>
      <c r="S21" s="4"/>
      <c r="T21" s="4"/>
      <c r="U21" s="4"/>
    </row>
    <row r="22" spans="1:21" x14ac:dyDescent="0.45">
      <c r="A22" s="4"/>
      <c r="B22" s="4"/>
      <c r="C22" s="4"/>
      <c r="D22" s="4"/>
      <c r="E22" s="4"/>
      <c r="F22" s="4"/>
      <c r="G22" s="4"/>
      <c r="H22" s="4"/>
      <c r="I22" s="4"/>
      <c r="J22" s="4"/>
      <c r="K22" s="4"/>
      <c r="L22" s="4"/>
      <c r="M22" s="4"/>
      <c r="N22" s="4"/>
      <c r="O22" s="4"/>
      <c r="P22" s="4"/>
      <c r="Q22" s="4"/>
      <c r="R22" s="4"/>
      <c r="S22" s="4"/>
      <c r="T22" s="4"/>
      <c r="U22" s="4"/>
    </row>
    <row r="23" spans="1:21" x14ac:dyDescent="0.45">
      <c r="A23" s="4"/>
      <c r="B23" s="4"/>
      <c r="C23" s="4"/>
      <c r="D23" s="4"/>
      <c r="E23" s="4"/>
      <c r="F23" s="4"/>
      <c r="G23" s="4"/>
      <c r="H23" s="4"/>
      <c r="I23" s="4"/>
      <c r="J23" s="4"/>
      <c r="K23" s="4"/>
      <c r="L23" s="4"/>
      <c r="M23" s="4"/>
      <c r="N23" s="4"/>
      <c r="O23" s="4"/>
      <c r="P23" s="4"/>
      <c r="Q23" s="4"/>
      <c r="R23" s="4"/>
      <c r="S23" s="4"/>
      <c r="T23" s="4"/>
      <c r="U23" s="4"/>
    </row>
    <row r="24" spans="1:21" x14ac:dyDescent="0.45">
      <c r="A24" s="4"/>
      <c r="B24" s="4"/>
      <c r="C24" s="4"/>
      <c r="D24" s="4"/>
      <c r="E24" s="4"/>
      <c r="F24" s="4"/>
      <c r="G24" s="4"/>
      <c r="H24" s="4"/>
      <c r="I24" s="4"/>
      <c r="J24" s="4"/>
      <c r="K24" s="4"/>
      <c r="L24" s="4"/>
      <c r="M24" s="4"/>
      <c r="N24" s="4"/>
      <c r="O24" s="4"/>
      <c r="P24" s="4"/>
      <c r="Q24" s="4"/>
      <c r="R24" s="4"/>
      <c r="S24" s="4"/>
      <c r="T24" s="4"/>
      <c r="U24" s="4"/>
    </row>
    <row r="25" spans="1:21" x14ac:dyDescent="0.45">
      <c r="A25" s="4"/>
      <c r="B25" s="4"/>
      <c r="C25" s="4"/>
      <c r="D25" s="4"/>
      <c r="E25" s="4"/>
      <c r="F25" s="4"/>
      <c r="G25" s="4"/>
      <c r="H25" s="4"/>
      <c r="I25" s="4"/>
      <c r="J25" s="4"/>
      <c r="K25" s="4"/>
      <c r="L25" s="4"/>
      <c r="M25" s="4"/>
      <c r="N25" s="4"/>
      <c r="O25" s="4"/>
      <c r="P25" s="4"/>
      <c r="Q25" s="4"/>
      <c r="R25" s="4"/>
      <c r="S25" s="4"/>
      <c r="T25" s="4"/>
      <c r="U25" s="4"/>
    </row>
    <row r="26" spans="1:21" x14ac:dyDescent="0.45">
      <c r="A26" s="4"/>
      <c r="B26" s="4"/>
      <c r="C26" s="4"/>
      <c r="D26" s="4"/>
      <c r="E26" s="4"/>
      <c r="F26" s="4"/>
      <c r="G26" s="4"/>
      <c r="H26" s="4"/>
      <c r="I26" s="4"/>
      <c r="J26" s="4"/>
      <c r="K26" s="4"/>
      <c r="L26" s="4"/>
      <c r="M26" s="4"/>
      <c r="N26" s="4"/>
      <c r="O26" s="4"/>
      <c r="P26" s="4"/>
      <c r="Q26" s="4"/>
      <c r="R26" s="4"/>
      <c r="S26" s="4"/>
      <c r="T26" s="4"/>
      <c r="U26" s="4"/>
    </row>
    <row r="27" spans="1:21" x14ac:dyDescent="0.45">
      <c r="A27" s="4"/>
      <c r="B27" s="4"/>
      <c r="C27" s="4"/>
      <c r="D27" s="4"/>
      <c r="E27" s="4"/>
      <c r="F27" s="4"/>
      <c r="G27" s="4"/>
      <c r="H27" s="4"/>
      <c r="I27" s="4"/>
      <c r="J27" s="4"/>
      <c r="K27" s="4"/>
      <c r="L27" s="4"/>
      <c r="M27" s="4"/>
      <c r="N27" s="4"/>
      <c r="O27" s="4"/>
      <c r="P27" s="4"/>
      <c r="Q27" s="4"/>
      <c r="R27" s="4"/>
      <c r="S27" s="4"/>
      <c r="T27" s="4"/>
      <c r="U27" s="4"/>
    </row>
    <row r="28" spans="1:21" x14ac:dyDescent="0.45">
      <c r="A28" s="4"/>
      <c r="B28" s="4"/>
      <c r="C28" s="4"/>
      <c r="D28" s="4"/>
      <c r="E28" s="4"/>
      <c r="F28" s="4"/>
      <c r="G28" s="4"/>
      <c r="H28" s="4"/>
      <c r="I28" s="4"/>
      <c r="J28" s="4"/>
      <c r="K28" s="4"/>
      <c r="L28" s="4"/>
      <c r="M28" s="4"/>
      <c r="N28" s="4"/>
      <c r="O28" s="4"/>
      <c r="P28" s="4"/>
      <c r="Q28" s="4"/>
      <c r="R28" s="4"/>
      <c r="S28" s="4"/>
      <c r="T28" s="4"/>
      <c r="U28" s="4"/>
    </row>
    <row r="29" spans="1:21" x14ac:dyDescent="0.45">
      <c r="A29" s="4"/>
      <c r="B29" s="4"/>
      <c r="C29" s="4"/>
      <c r="D29" s="4"/>
      <c r="E29" s="4"/>
      <c r="F29" s="4"/>
      <c r="G29" s="4"/>
      <c r="H29" s="4"/>
      <c r="I29" s="4"/>
      <c r="J29" s="4"/>
      <c r="K29" s="4"/>
      <c r="L29" s="4"/>
      <c r="M29" s="4"/>
      <c r="N29" s="4"/>
      <c r="O29" s="4"/>
      <c r="P29" s="4"/>
      <c r="Q29" s="4"/>
      <c r="R29" s="4"/>
      <c r="S29" s="4"/>
      <c r="T29" s="4"/>
      <c r="U29" s="4"/>
    </row>
    <row r="30" spans="1:21" x14ac:dyDescent="0.45">
      <c r="A30" s="4"/>
      <c r="B30" s="4"/>
      <c r="C30" s="4"/>
      <c r="D30" s="4"/>
      <c r="E30" s="4"/>
      <c r="F30" s="4"/>
      <c r="G30" s="4"/>
      <c r="H30" s="4"/>
      <c r="I30" s="4"/>
      <c r="J30" s="4"/>
      <c r="K30" s="4"/>
      <c r="L30" s="4"/>
      <c r="M30" s="4"/>
      <c r="N30" s="4"/>
      <c r="O30" s="4"/>
      <c r="P30" s="4"/>
      <c r="Q30" s="4"/>
      <c r="R30" s="4"/>
      <c r="S30" s="4"/>
      <c r="T30" s="4"/>
      <c r="U30" s="4"/>
    </row>
    <row r="31" spans="1:21" x14ac:dyDescent="0.45">
      <c r="A31" s="4"/>
      <c r="B31" s="4"/>
      <c r="C31" s="4"/>
      <c r="D31" s="4"/>
      <c r="E31" s="4"/>
      <c r="F31" s="4"/>
      <c r="G31" s="4"/>
      <c r="H31" s="4"/>
      <c r="I31" s="4"/>
      <c r="J31" s="4"/>
      <c r="K31" s="4"/>
      <c r="L31" s="4"/>
      <c r="M31" s="4"/>
      <c r="N31" s="4"/>
      <c r="O31" s="4"/>
      <c r="P31" s="4"/>
      <c r="Q31" s="4"/>
      <c r="R31" s="4"/>
      <c r="S31" s="4"/>
      <c r="T31" s="4"/>
      <c r="U31" s="4"/>
    </row>
    <row r="32" spans="1:21" x14ac:dyDescent="0.45">
      <c r="A32" s="4"/>
      <c r="B32" s="4"/>
      <c r="C32" s="4"/>
      <c r="D32" s="4"/>
      <c r="E32" s="4"/>
      <c r="F32" s="4"/>
      <c r="G32" s="4"/>
      <c r="H32" s="4"/>
      <c r="I32" s="4"/>
      <c r="J32" s="4"/>
      <c r="K32" s="4"/>
      <c r="L32" s="4"/>
      <c r="M32" s="4"/>
      <c r="N32" s="4"/>
      <c r="O32" s="4"/>
      <c r="P32" s="4"/>
      <c r="Q32" s="4"/>
      <c r="R32" s="4"/>
      <c r="S32" s="4"/>
      <c r="T32" s="4"/>
      <c r="U32" s="4"/>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09A7-1D64-4149-A68B-C346AD58C3AF}">
  <dimension ref="A1:R706"/>
  <sheetViews>
    <sheetView topLeftCell="L1" workbookViewId="0">
      <selection activeCell="T10" sqref="T10"/>
    </sheetView>
  </sheetViews>
  <sheetFormatPr defaultRowHeight="14.25" x14ac:dyDescent="0.45"/>
  <cols>
    <col min="1" max="1" width="9.46484375" bestFit="1" customWidth="1"/>
    <col min="3" max="3" width="9" customWidth="1"/>
    <col min="4" max="4" width="13.33203125" bestFit="1" customWidth="1"/>
    <col min="5" max="5" width="14.59765625" bestFit="1" customWidth="1"/>
    <col min="6" max="6" width="19.9296875" bestFit="1" customWidth="1"/>
    <col min="7" max="7" width="17.59765625" bestFit="1" customWidth="1"/>
    <col min="8" max="8" width="26" bestFit="1" customWidth="1"/>
    <col min="9" max="9" width="19.3984375" bestFit="1" customWidth="1"/>
    <col min="10" max="10" width="17.86328125" bestFit="1" customWidth="1"/>
    <col min="12" max="12" width="23.73046875" bestFit="1" customWidth="1"/>
    <col min="13" max="13" width="13" bestFit="1" customWidth="1"/>
    <col min="14" max="14" width="9.06640625" customWidth="1"/>
    <col min="16" max="16" width="18.46484375" bestFit="1" customWidth="1"/>
  </cols>
  <sheetData>
    <row r="1" spans="1:18" x14ac:dyDescent="0.45">
      <c r="A1" t="s">
        <v>0</v>
      </c>
      <c r="B1" t="s">
        <v>1</v>
      </c>
      <c r="C1" t="s">
        <v>2</v>
      </c>
      <c r="D1" t="s">
        <v>3</v>
      </c>
      <c r="E1" t="s">
        <v>4</v>
      </c>
      <c r="F1" t="s">
        <v>5</v>
      </c>
      <c r="G1" t="s">
        <v>6</v>
      </c>
      <c r="H1" t="s">
        <v>7</v>
      </c>
      <c r="I1" t="s">
        <v>8</v>
      </c>
      <c r="J1" t="s">
        <v>9</v>
      </c>
      <c r="K1" t="s">
        <v>10</v>
      </c>
      <c r="L1" t="s">
        <v>11</v>
      </c>
      <c r="M1" t="s">
        <v>12</v>
      </c>
      <c r="N1" t="s">
        <v>148</v>
      </c>
      <c r="O1" t="s">
        <v>155</v>
      </c>
      <c r="P1" t="s">
        <v>156</v>
      </c>
      <c r="Q1" t="s">
        <v>157</v>
      </c>
      <c r="R1" t="s">
        <v>167</v>
      </c>
    </row>
    <row r="2" spans="1:18" x14ac:dyDescent="0.45">
      <c r="A2">
        <v>1</v>
      </c>
      <c r="B2">
        <v>19</v>
      </c>
      <c r="C2" t="s">
        <v>13</v>
      </c>
      <c r="D2" t="s">
        <v>14</v>
      </c>
      <c r="E2" t="s">
        <v>15</v>
      </c>
      <c r="F2">
        <v>5.2</v>
      </c>
      <c r="G2" t="s">
        <v>16</v>
      </c>
      <c r="H2" t="s">
        <v>17</v>
      </c>
      <c r="I2">
        <v>6.5</v>
      </c>
      <c r="J2">
        <v>6</v>
      </c>
      <c r="K2" t="s">
        <v>18</v>
      </c>
      <c r="L2">
        <v>3</v>
      </c>
      <c r="M2">
        <v>8</v>
      </c>
      <c r="N2" t="str">
        <f>IF(AND(F2&gt;=1.5,F2&lt;=3.5),"Low",IF(AND(F2&gt;3.5,F2&lt;=6.5),"Medium","High"))</f>
        <v>Medium</v>
      </c>
      <c r="O2" t="str">
        <f>IF(AND(I16&gt;=3.8,I16&lt;=5),"Less",IF(AND(I16&gt;5,I16&lt;=7),"Average","High"))</f>
        <v>Average</v>
      </c>
      <c r="P2" t="str">
        <f>IF(AND(I2&gt;=3.8,I2&lt;=5),"Less",IF(AND(I2&gt;5,I2&lt;=7),"Average","High"))</f>
        <v>Average</v>
      </c>
      <c r="Q2" t="str">
        <f>IF(AND(J2&gt;=0,J2&lt;=4),"Worst",IF(AND(J2&gt;4,J2&lt;=7),"Bad","Good"))</f>
        <v>Bad</v>
      </c>
      <c r="R2" t="str">
        <f>IF(AND(M2&gt;0,M2&lt;=3),"Less",IF(AND(M2&gt;3,M2&lt;=6),"Medium","High"))</f>
        <v>High</v>
      </c>
    </row>
    <row r="3" spans="1:18" x14ac:dyDescent="0.45">
      <c r="A3">
        <v>2</v>
      </c>
      <c r="B3">
        <v>22</v>
      </c>
      <c r="C3" t="s">
        <v>19</v>
      </c>
      <c r="D3" t="s">
        <v>20</v>
      </c>
      <c r="E3" t="s">
        <v>21</v>
      </c>
      <c r="F3">
        <v>2.1</v>
      </c>
      <c r="G3" t="s">
        <v>22</v>
      </c>
      <c r="H3" t="s">
        <v>23</v>
      </c>
      <c r="I3">
        <v>7.5</v>
      </c>
      <c r="J3">
        <v>8</v>
      </c>
      <c r="K3" t="s">
        <v>24</v>
      </c>
      <c r="L3">
        <v>0</v>
      </c>
      <c r="M3">
        <v>3</v>
      </c>
      <c r="N3" t="str">
        <f t="shared" ref="N3:N66" si="0">IF(AND(F3&gt;=1.5,F3&lt;=3.5),"Low",IF(AND(F3&gt;3.5,F3&lt;=6.5),"Medium","High"))</f>
        <v>Low</v>
      </c>
      <c r="O3" t="str">
        <f t="shared" ref="O3:O66" si="1">IF(AND(I17&gt;=3.8,I17&lt;=5),"Less",IF(AND(I17&gt;5,I17&lt;=7),"Average","High"))</f>
        <v>Average</v>
      </c>
      <c r="P3" t="str">
        <f t="shared" ref="P3:P66" si="2">IF(AND(I3&gt;=3.8,I3&lt;=5),"Less",IF(AND(I3&gt;5,I3&lt;=7),"Average","High"))</f>
        <v>High</v>
      </c>
      <c r="Q3" t="str">
        <f>IF(AND(J3&gt;=0,J3&lt;=4),"Worst",IF(AND(J3&gt;4,J3&lt;=7),"Bad","Good"))</f>
        <v>Good</v>
      </c>
      <c r="R3" t="str">
        <f>IF(AND(M3&gt;0,M3&lt;=3),"Less",IF(AND(M3&gt;3,M3&lt;=6),"Medium","High"))</f>
        <v>Less</v>
      </c>
    </row>
    <row r="4" spans="1:18" x14ac:dyDescent="0.45">
      <c r="A4">
        <v>3</v>
      </c>
      <c r="B4">
        <v>20</v>
      </c>
      <c r="C4" t="s">
        <v>13</v>
      </c>
      <c r="D4" t="s">
        <v>14</v>
      </c>
      <c r="E4" t="s">
        <v>25</v>
      </c>
      <c r="F4">
        <v>6</v>
      </c>
      <c r="G4" t="s">
        <v>26</v>
      </c>
      <c r="H4" t="s">
        <v>17</v>
      </c>
      <c r="I4">
        <v>5</v>
      </c>
      <c r="J4">
        <v>5</v>
      </c>
      <c r="K4" t="s">
        <v>27</v>
      </c>
      <c r="L4">
        <v>4</v>
      </c>
      <c r="M4">
        <v>9</v>
      </c>
      <c r="N4" t="str">
        <f t="shared" si="0"/>
        <v>Medium</v>
      </c>
      <c r="O4" t="str">
        <f t="shared" si="1"/>
        <v>High</v>
      </c>
      <c r="P4" t="str">
        <f t="shared" si="2"/>
        <v>Less</v>
      </c>
      <c r="Q4" t="str">
        <f>IF(AND(J4&gt;=0,J4&lt;=4),"Worst",IF(AND(J4&gt;4,J4&lt;=7),"Bad","Good"))</f>
        <v>Bad</v>
      </c>
      <c r="R4" t="str">
        <f>IF(AND(M4&gt;0,M4&lt;=3),"Less",IF(AND(M4&gt;3,M4&lt;=6),"Medium","High"))</f>
        <v>High</v>
      </c>
    </row>
    <row r="5" spans="1:18" x14ac:dyDescent="0.45">
      <c r="A5">
        <v>4</v>
      </c>
      <c r="B5">
        <v>18</v>
      </c>
      <c r="C5" t="s">
        <v>19</v>
      </c>
      <c r="D5" t="s">
        <v>28</v>
      </c>
      <c r="E5" t="s">
        <v>29</v>
      </c>
      <c r="F5">
        <v>3</v>
      </c>
      <c r="G5" t="s">
        <v>30</v>
      </c>
      <c r="H5" t="s">
        <v>23</v>
      </c>
      <c r="I5">
        <v>7</v>
      </c>
      <c r="J5">
        <v>7</v>
      </c>
      <c r="K5" t="s">
        <v>24</v>
      </c>
      <c r="L5">
        <v>1</v>
      </c>
      <c r="M5">
        <v>4</v>
      </c>
      <c r="N5" t="str">
        <f t="shared" si="0"/>
        <v>Low</v>
      </c>
      <c r="O5" t="str">
        <f t="shared" si="1"/>
        <v>Average</v>
      </c>
      <c r="P5" t="str">
        <f t="shared" si="2"/>
        <v>Average</v>
      </c>
      <c r="Q5" t="str">
        <f>IF(AND(J5&gt;=0,J5&lt;=4),"Worst",IF(AND(J5&gt;4,J5&lt;=7),"Bad","Good"))</f>
        <v>Bad</v>
      </c>
      <c r="R5" t="str">
        <f>IF(AND(M5&gt;0,M5&lt;=3),"Less",IF(AND(M5&gt;3,M5&lt;=6),"Medium","High"))</f>
        <v>Medium</v>
      </c>
    </row>
    <row r="6" spans="1:18" x14ac:dyDescent="0.45">
      <c r="A6">
        <v>5</v>
      </c>
      <c r="B6">
        <v>21</v>
      </c>
      <c r="C6" t="s">
        <v>19</v>
      </c>
      <c r="D6" t="s">
        <v>20</v>
      </c>
      <c r="E6" t="s">
        <v>31</v>
      </c>
      <c r="F6">
        <v>4.5</v>
      </c>
      <c r="G6" t="s">
        <v>32</v>
      </c>
      <c r="H6" t="s">
        <v>17</v>
      </c>
      <c r="I6">
        <v>6</v>
      </c>
      <c r="J6">
        <v>6</v>
      </c>
      <c r="K6" t="s">
        <v>18</v>
      </c>
      <c r="L6">
        <v>2</v>
      </c>
      <c r="M6">
        <v>7</v>
      </c>
      <c r="N6" t="str">
        <f t="shared" si="0"/>
        <v>Medium</v>
      </c>
      <c r="O6" t="str">
        <f t="shared" si="1"/>
        <v>Average</v>
      </c>
      <c r="P6" t="str">
        <f t="shared" si="2"/>
        <v>Average</v>
      </c>
      <c r="Q6" t="str">
        <f t="shared" ref="Q6:Q69" si="3">IF(AND(J6&gt;=0,J6&lt;=4),"Worst",IF(AND(J6&gt;4,J6&lt;=7),"Bad","Good"))</f>
        <v>Bad</v>
      </c>
      <c r="R6" t="str">
        <f t="shared" ref="R6:R69" si="4">IF(AND(M6&gt;0,M6&lt;=3),"Less",IF(AND(M6&gt;3,M6&lt;=6),"Medium","High"))</f>
        <v>High</v>
      </c>
    </row>
    <row r="7" spans="1:18" x14ac:dyDescent="0.45">
      <c r="A7">
        <v>6</v>
      </c>
      <c r="B7">
        <v>19</v>
      </c>
      <c r="C7" t="s">
        <v>13</v>
      </c>
      <c r="D7" t="s">
        <v>14</v>
      </c>
      <c r="E7" t="s">
        <v>33</v>
      </c>
      <c r="F7">
        <v>7.2</v>
      </c>
      <c r="G7" t="s">
        <v>16</v>
      </c>
      <c r="H7" t="s">
        <v>17</v>
      </c>
      <c r="I7">
        <v>4.5</v>
      </c>
      <c r="J7">
        <v>4</v>
      </c>
      <c r="K7" t="s">
        <v>27</v>
      </c>
      <c r="L7">
        <v>5</v>
      </c>
      <c r="M7">
        <v>9</v>
      </c>
      <c r="N7" t="str">
        <f t="shared" si="0"/>
        <v>High</v>
      </c>
      <c r="O7" t="str">
        <f t="shared" si="1"/>
        <v>Average</v>
      </c>
      <c r="P7" t="str">
        <f t="shared" si="2"/>
        <v>Less</v>
      </c>
      <c r="Q7" t="str">
        <f t="shared" si="3"/>
        <v>Worst</v>
      </c>
      <c r="R7" t="str">
        <f t="shared" si="4"/>
        <v>High</v>
      </c>
    </row>
    <row r="8" spans="1:18" x14ac:dyDescent="0.45">
      <c r="A8">
        <v>7</v>
      </c>
      <c r="B8">
        <v>23</v>
      </c>
      <c r="C8" t="s">
        <v>19</v>
      </c>
      <c r="D8" t="s">
        <v>20</v>
      </c>
      <c r="E8" t="s">
        <v>34</v>
      </c>
      <c r="F8">
        <v>1.5</v>
      </c>
      <c r="G8" t="s">
        <v>35</v>
      </c>
      <c r="H8" t="s">
        <v>23</v>
      </c>
      <c r="I8">
        <v>8</v>
      </c>
      <c r="J8">
        <v>9</v>
      </c>
      <c r="K8" t="s">
        <v>24</v>
      </c>
      <c r="L8">
        <v>0</v>
      </c>
      <c r="M8">
        <v>2</v>
      </c>
      <c r="N8" t="str">
        <f t="shared" si="0"/>
        <v>Low</v>
      </c>
      <c r="O8" t="str">
        <f t="shared" si="1"/>
        <v>Average</v>
      </c>
      <c r="P8" t="str">
        <f t="shared" si="2"/>
        <v>High</v>
      </c>
      <c r="Q8" t="str">
        <f t="shared" si="3"/>
        <v>Good</v>
      </c>
      <c r="R8" t="str">
        <f t="shared" si="4"/>
        <v>Less</v>
      </c>
    </row>
    <row r="9" spans="1:18" x14ac:dyDescent="0.45">
      <c r="A9">
        <v>8</v>
      </c>
      <c r="B9">
        <v>20</v>
      </c>
      <c r="C9" t="s">
        <v>13</v>
      </c>
      <c r="D9" t="s">
        <v>14</v>
      </c>
      <c r="E9" t="s">
        <v>36</v>
      </c>
      <c r="F9">
        <v>5.8</v>
      </c>
      <c r="G9" t="s">
        <v>37</v>
      </c>
      <c r="H9" t="s">
        <v>17</v>
      </c>
      <c r="I9">
        <v>6</v>
      </c>
      <c r="J9">
        <v>6</v>
      </c>
      <c r="K9" t="s">
        <v>18</v>
      </c>
      <c r="L9">
        <v>2</v>
      </c>
      <c r="M9">
        <v>8</v>
      </c>
      <c r="N9" t="str">
        <f t="shared" si="0"/>
        <v>Medium</v>
      </c>
      <c r="O9" t="str">
        <f t="shared" si="1"/>
        <v>High</v>
      </c>
      <c r="P9" t="str">
        <f t="shared" si="2"/>
        <v>Average</v>
      </c>
      <c r="Q9" t="str">
        <f t="shared" si="3"/>
        <v>Bad</v>
      </c>
      <c r="R9" t="str">
        <f t="shared" si="4"/>
        <v>High</v>
      </c>
    </row>
    <row r="10" spans="1:18" x14ac:dyDescent="0.45">
      <c r="A10">
        <v>9</v>
      </c>
      <c r="B10">
        <v>18</v>
      </c>
      <c r="C10" t="s">
        <v>19</v>
      </c>
      <c r="D10" t="s">
        <v>28</v>
      </c>
      <c r="E10" t="s">
        <v>38</v>
      </c>
      <c r="F10">
        <v>4</v>
      </c>
      <c r="G10" t="s">
        <v>26</v>
      </c>
      <c r="H10" t="s">
        <v>23</v>
      </c>
      <c r="I10">
        <v>6.5</v>
      </c>
      <c r="J10">
        <v>7</v>
      </c>
      <c r="K10" t="s">
        <v>24</v>
      </c>
      <c r="L10">
        <v>1</v>
      </c>
      <c r="M10">
        <v>5</v>
      </c>
      <c r="N10" t="str">
        <f t="shared" si="0"/>
        <v>Medium</v>
      </c>
      <c r="O10" t="str">
        <f t="shared" si="1"/>
        <v>Average</v>
      </c>
      <c r="P10" t="str">
        <f t="shared" si="2"/>
        <v>Average</v>
      </c>
      <c r="Q10" t="str">
        <f t="shared" si="3"/>
        <v>Bad</v>
      </c>
      <c r="R10" t="str">
        <f t="shared" si="4"/>
        <v>Medium</v>
      </c>
    </row>
    <row r="11" spans="1:18" x14ac:dyDescent="0.45">
      <c r="A11">
        <v>10</v>
      </c>
      <c r="B11">
        <v>21</v>
      </c>
      <c r="C11" t="s">
        <v>13</v>
      </c>
      <c r="D11" t="s">
        <v>20</v>
      </c>
      <c r="E11" t="s">
        <v>39</v>
      </c>
      <c r="F11">
        <v>3.3</v>
      </c>
      <c r="G11" t="s">
        <v>16</v>
      </c>
      <c r="H11" t="s">
        <v>23</v>
      </c>
      <c r="I11">
        <v>7</v>
      </c>
      <c r="J11">
        <v>7</v>
      </c>
      <c r="K11" t="s">
        <v>18</v>
      </c>
      <c r="L11">
        <v>1</v>
      </c>
      <c r="M11">
        <v>4</v>
      </c>
      <c r="N11" t="str">
        <f t="shared" si="0"/>
        <v>Low</v>
      </c>
      <c r="O11" t="str">
        <f t="shared" si="1"/>
        <v>Average</v>
      </c>
      <c r="P11" t="str">
        <f t="shared" si="2"/>
        <v>Average</v>
      </c>
      <c r="Q11" t="str">
        <f t="shared" si="3"/>
        <v>Bad</v>
      </c>
      <c r="R11" t="str">
        <f t="shared" si="4"/>
        <v>Medium</v>
      </c>
    </row>
    <row r="12" spans="1:18" x14ac:dyDescent="0.45">
      <c r="A12">
        <v>11</v>
      </c>
      <c r="B12">
        <v>19</v>
      </c>
      <c r="C12" t="s">
        <v>19</v>
      </c>
      <c r="D12" t="s">
        <v>14</v>
      </c>
      <c r="E12" t="s">
        <v>40</v>
      </c>
      <c r="F12">
        <v>4.8</v>
      </c>
      <c r="G12" t="s">
        <v>37</v>
      </c>
      <c r="H12" t="s">
        <v>17</v>
      </c>
      <c r="I12">
        <v>6.2</v>
      </c>
      <c r="J12">
        <v>5</v>
      </c>
      <c r="K12" t="s">
        <v>27</v>
      </c>
      <c r="L12">
        <v>3</v>
      </c>
      <c r="M12">
        <v>7</v>
      </c>
      <c r="N12" t="str">
        <f t="shared" si="0"/>
        <v>Medium</v>
      </c>
      <c r="O12" t="str">
        <f t="shared" si="1"/>
        <v>Average</v>
      </c>
      <c r="P12" t="str">
        <f t="shared" si="2"/>
        <v>Average</v>
      </c>
      <c r="Q12" t="str">
        <f t="shared" si="3"/>
        <v>Bad</v>
      </c>
      <c r="R12" t="str">
        <f t="shared" si="4"/>
        <v>High</v>
      </c>
    </row>
    <row r="13" spans="1:18" x14ac:dyDescent="0.45">
      <c r="A13">
        <v>12</v>
      </c>
      <c r="B13">
        <v>20</v>
      </c>
      <c r="C13" t="s">
        <v>13</v>
      </c>
      <c r="D13" t="s">
        <v>14</v>
      </c>
      <c r="E13" t="s">
        <v>41</v>
      </c>
      <c r="F13">
        <v>5.5</v>
      </c>
      <c r="G13" t="s">
        <v>26</v>
      </c>
      <c r="H13" t="s">
        <v>17</v>
      </c>
      <c r="I13">
        <v>5.8</v>
      </c>
      <c r="J13">
        <v>6</v>
      </c>
      <c r="K13" t="s">
        <v>18</v>
      </c>
      <c r="L13">
        <v>2</v>
      </c>
      <c r="M13">
        <v>8</v>
      </c>
      <c r="N13" t="str">
        <f t="shared" si="0"/>
        <v>Medium</v>
      </c>
      <c r="O13" t="str">
        <f t="shared" si="1"/>
        <v>Average</v>
      </c>
      <c r="P13" t="str">
        <f t="shared" si="2"/>
        <v>Average</v>
      </c>
      <c r="Q13" t="str">
        <f t="shared" si="3"/>
        <v>Bad</v>
      </c>
      <c r="R13" t="str">
        <f t="shared" si="4"/>
        <v>High</v>
      </c>
    </row>
    <row r="14" spans="1:18" x14ac:dyDescent="0.45">
      <c r="A14">
        <v>13</v>
      </c>
      <c r="B14">
        <v>22</v>
      </c>
      <c r="C14" t="s">
        <v>19</v>
      </c>
      <c r="D14" t="s">
        <v>20</v>
      </c>
      <c r="E14" t="s">
        <v>42</v>
      </c>
      <c r="F14">
        <v>2.8</v>
      </c>
      <c r="G14" t="s">
        <v>35</v>
      </c>
      <c r="H14" t="s">
        <v>23</v>
      </c>
      <c r="I14">
        <v>7.2</v>
      </c>
      <c r="J14">
        <v>8</v>
      </c>
      <c r="K14" t="s">
        <v>24</v>
      </c>
      <c r="L14">
        <v>1</v>
      </c>
      <c r="M14">
        <v>4</v>
      </c>
      <c r="N14" t="str">
        <f t="shared" si="0"/>
        <v>Low</v>
      </c>
      <c r="O14" t="str">
        <f t="shared" si="1"/>
        <v>Average</v>
      </c>
      <c r="P14" t="str">
        <f t="shared" si="2"/>
        <v>High</v>
      </c>
      <c r="Q14" t="str">
        <f t="shared" si="3"/>
        <v>Good</v>
      </c>
      <c r="R14" t="str">
        <f t="shared" si="4"/>
        <v>Medium</v>
      </c>
    </row>
    <row r="15" spans="1:18" x14ac:dyDescent="0.45">
      <c r="A15">
        <v>14</v>
      </c>
      <c r="B15">
        <v>18</v>
      </c>
      <c r="C15" t="s">
        <v>13</v>
      </c>
      <c r="D15" t="s">
        <v>28</v>
      </c>
      <c r="E15" t="s">
        <v>43</v>
      </c>
      <c r="F15">
        <v>6.5</v>
      </c>
      <c r="G15" t="s">
        <v>16</v>
      </c>
      <c r="H15" t="s">
        <v>17</v>
      </c>
      <c r="I15">
        <v>5.5</v>
      </c>
      <c r="J15">
        <v>5</v>
      </c>
      <c r="K15" t="s">
        <v>24</v>
      </c>
      <c r="L15">
        <v>4</v>
      </c>
      <c r="M15">
        <v>9</v>
      </c>
      <c r="N15" t="str">
        <f t="shared" si="0"/>
        <v>Medium</v>
      </c>
      <c r="O15" t="str">
        <f t="shared" si="1"/>
        <v>Average</v>
      </c>
      <c r="P15" t="str">
        <f t="shared" si="2"/>
        <v>Average</v>
      </c>
      <c r="Q15" t="str">
        <f t="shared" si="3"/>
        <v>Bad</v>
      </c>
      <c r="R15" t="str">
        <f t="shared" si="4"/>
        <v>High</v>
      </c>
    </row>
    <row r="16" spans="1:18" x14ac:dyDescent="0.45">
      <c r="A16">
        <v>15</v>
      </c>
      <c r="B16">
        <v>21</v>
      </c>
      <c r="C16" t="s">
        <v>19</v>
      </c>
      <c r="D16" t="s">
        <v>14</v>
      </c>
      <c r="E16" t="s">
        <v>44</v>
      </c>
      <c r="F16">
        <v>3.7</v>
      </c>
      <c r="G16" t="s">
        <v>30</v>
      </c>
      <c r="H16" t="s">
        <v>23</v>
      </c>
      <c r="I16">
        <v>6.8</v>
      </c>
      <c r="J16">
        <v>7</v>
      </c>
      <c r="K16" t="s">
        <v>18</v>
      </c>
      <c r="L16">
        <v>2</v>
      </c>
      <c r="M16">
        <v>5</v>
      </c>
      <c r="N16" t="str">
        <f t="shared" si="0"/>
        <v>Medium</v>
      </c>
      <c r="O16" t="str">
        <f t="shared" si="1"/>
        <v>High</v>
      </c>
      <c r="P16" t="str">
        <f t="shared" si="2"/>
        <v>Average</v>
      </c>
      <c r="Q16" t="str">
        <f t="shared" si="3"/>
        <v>Bad</v>
      </c>
      <c r="R16" t="str">
        <f t="shared" si="4"/>
        <v>Medium</v>
      </c>
    </row>
    <row r="17" spans="1:18" x14ac:dyDescent="0.45">
      <c r="A17">
        <v>16</v>
      </c>
      <c r="B17">
        <v>20</v>
      </c>
      <c r="C17" t="s">
        <v>13</v>
      </c>
      <c r="D17" t="s">
        <v>14</v>
      </c>
      <c r="E17" t="s">
        <v>45</v>
      </c>
      <c r="F17">
        <v>4.2</v>
      </c>
      <c r="G17" t="s">
        <v>26</v>
      </c>
      <c r="H17" t="s">
        <v>17</v>
      </c>
      <c r="I17">
        <v>6</v>
      </c>
      <c r="J17">
        <v>6</v>
      </c>
      <c r="K17" t="s">
        <v>27</v>
      </c>
      <c r="L17">
        <v>3</v>
      </c>
      <c r="M17">
        <v>7</v>
      </c>
      <c r="N17" t="str">
        <f t="shared" si="0"/>
        <v>Medium</v>
      </c>
      <c r="O17" t="str">
        <f t="shared" si="1"/>
        <v>Average</v>
      </c>
      <c r="P17" t="str">
        <f t="shared" si="2"/>
        <v>Average</v>
      </c>
      <c r="Q17" t="str">
        <f t="shared" si="3"/>
        <v>Bad</v>
      </c>
      <c r="R17" t="str">
        <f t="shared" si="4"/>
        <v>High</v>
      </c>
    </row>
    <row r="18" spans="1:18" x14ac:dyDescent="0.45">
      <c r="A18">
        <v>17</v>
      </c>
      <c r="B18">
        <v>24</v>
      </c>
      <c r="C18" t="s">
        <v>19</v>
      </c>
      <c r="D18" t="s">
        <v>20</v>
      </c>
      <c r="E18" t="s">
        <v>46</v>
      </c>
      <c r="F18">
        <v>2</v>
      </c>
      <c r="G18" t="s">
        <v>35</v>
      </c>
      <c r="H18" t="s">
        <v>23</v>
      </c>
      <c r="I18">
        <v>7.8</v>
      </c>
      <c r="J18">
        <v>8</v>
      </c>
      <c r="K18" t="s">
        <v>24</v>
      </c>
      <c r="L18">
        <v>0</v>
      </c>
      <c r="M18">
        <v>3</v>
      </c>
      <c r="N18" t="str">
        <f t="shared" si="0"/>
        <v>Low</v>
      </c>
      <c r="O18" t="str">
        <f t="shared" si="1"/>
        <v>Average</v>
      </c>
      <c r="P18" t="str">
        <f t="shared" si="2"/>
        <v>High</v>
      </c>
      <c r="Q18" t="str">
        <f t="shared" si="3"/>
        <v>Good</v>
      </c>
      <c r="R18" t="str">
        <f t="shared" si="4"/>
        <v>Less</v>
      </c>
    </row>
    <row r="19" spans="1:18" x14ac:dyDescent="0.45">
      <c r="A19">
        <v>18</v>
      </c>
      <c r="B19">
        <v>19</v>
      </c>
      <c r="C19" t="s">
        <v>13</v>
      </c>
      <c r="D19" t="s">
        <v>28</v>
      </c>
      <c r="E19" t="s">
        <v>47</v>
      </c>
      <c r="F19">
        <v>5</v>
      </c>
      <c r="G19" t="s">
        <v>16</v>
      </c>
      <c r="H19" t="s">
        <v>17</v>
      </c>
      <c r="I19">
        <v>5.7</v>
      </c>
      <c r="J19">
        <v>5</v>
      </c>
      <c r="K19" t="s">
        <v>18</v>
      </c>
      <c r="L19">
        <v>3</v>
      </c>
      <c r="M19">
        <v>8</v>
      </c>
      <c r="N19" t="str">
        <f t="shared" si="0"/>
        <v>Medium</v>
      </c>
      <c r="O19" t="str">
        <f t="shared" si="1"/>
        <v>Average</v>
      </c>
      <c r="P19" t="str">
        <f t="shared" si="2"/>
        <v>Average</v>
      </c>
      <c r="Q19" t="str">
        <f t="shared" si="3"/>
        <v>Bad</v>
      </c>
      <c r="R19" t="str">
        <f t="shared" si="4"/>
        <v>High</v>
      </c>
    </row>
    <row r="20" spans="1:18" x14ac:dyDescent="0.45">
      <c r="A20">
        <v>19</v>
      </c>
      <c r="B20">
        <v>21</v>
      </c>
      <c r="C20" t="s">
        <v>19</v>
      </c>
      <c r="D20" t="s">
        <v>14</v>
      </c>
      <c r="E20" t="s">
        <v>48</v>
      </c>
      <c r="F20">
        <v>3.5</v>
      </c>
      <c r="G20" t="s">
        <v>32</v>
      </c>
      <c r="H20" t="s">
        <v>23</v>
      </c>
      <c r="I20">
        <v>6.7</v>
      </c>
      <c r="J20">
        <v>7</v>
      </c>
      <c r="K20" t="s">
        <v>24</v>
      </c>
      <c r="L20">
        <v>1</v>
      </c>
      <c r="M20">
        <v>5</v>
      </c>
      <c r="N20" t="str">
        <f t="shared" si="0"/>
        <v>Low</v>
      </c>
      <c r="O20" t="str">
        <f t="shared" si="1"/>
        <v>Average</v>
      </c>
      <c r="P20" t="str">
        <f t="shared" si="2"/>
        <v>Average</v>
      </c>
      <c r="Q20" t="str">
        <f t="shared" si="3"/>
        <v>Bad</v>
      </c>
      <c r="R20" t="str">
        <f t="shared" si="4"/>
        <v>Medium</v>
      </c>
    </row>
    <row r="21" spans="1:18" x14ac:dyDescent="0.45">
      <c r="A21">
        <v>20</v>
      </c>
      <c r="B21">
        <v>20</v>
      </c>
      <c r="C21" t="s">
        <v>13</v>
      </c>
      <c r="D21" t="s">
        <v>14</v>
      </c>
      <c r="E21" t="s">
        <v>49</v>
      </c>
      <c r="F21">
        <v>4.7</v>
      </c>
      <c r="G21" t="s">
        <v>37</v>
      </c>
      <c r="H21" t="s">
        <v>17</v>
      </c>
      <c r="I21">
        <v>5.9</v>
      </c>
      <c r="J21">
        <v>6</v>
      </c>
      <c r="K21" t="s">
        <v>27</v>
      </c>
      <c r="L21">
        <v>3</v>
      </c>
      <c r="M21">
        <v>7</v>
      </c>
      <c r="N21" t="str">
        <f t="shared" si="0"/>
        <v>Medium</v>
      </c>
      <c r="O21" t="str">
        <f t="shared" si="1"/>
        <v>High</v>
      </c>
      <c r="P21" t="str">
        <f t="shared" si="2"/>
        <v>Average</v>
      </c>
      <c r="Q21" t="str">
        <f t="shared" si="3"/>
        <v>Bad</v>
      </c>
      <c r="R21" t="str">
        <f t="shared" si="4"/>
        <v>High</v>
      </c>
    </row>
    <row r="22" spans="1:18" x14ac:dyDescent="0.45">
      <c r="A22">
        <v>21</v>
      </c>
      <c r="B22">
        <v>18</v>
      </c>
      <c r="C22" t="s">
        <v>19</v>
      </c>
      <c r="D22" t="s">
        <v>28</v>
      </c>
      <c r="E22" t="s">
        <v>50</v>
      </c>
      <c r="F22">
        <v>5.3</v>
      </c>
      <c r="G22" t="s">
        <v>26</v>
      </c>
      <c r="H22" t="s">
        <v>17</v>
      </c>
      <c r="I22">
        <v>5.5</v>
      </c>
      <c r="J22">
        <v>5</v>
      </c>
      <c r="K22" t="s">
        <v>24</v>
      </c>
      <c r="L22">
        <v>4</v>
      </c>
      <c r="M22">
        <v>8</v>
      </c>
      <c r="N22" t="str">
        <f t="shared" si="0"/>
        <v>Medium</v>
      </c>
      <c r="O22" t="str">
        <f t="shared" si="1"/>
        <v>Average</v>
      </c>
      <c r="P22" t="str">
        <f t="shared" si="2"/>
        <v>Average</v>
      </c>
      <c r="Q22" t="str">
        <f t="shared" si="3"/>
        <v>Bad</v>
      </c>
      <c r="R22" t="str">
        <f t="shared" si="4"/>
        <v>High</v>
      </c>
    </row>
    <row r="23" spans="1:18" x14ac:dyDescent="0.45">
      <c r="A23">
        <v>22</v>
      </c>
      <c r="B23">
        <v>23</v>
      </c>
      <c r="C23" t="s">
        <v>13</v>
      </c>
      <c r="D23" t="s">
        <v>20</v>
      </c>
      <c r="E23" t="s">
        <v>51</v>
      </c>
      <c r="F23">
        <v>2.5</v>
      </c>
      <c r="G23" t="s">
        <v>35</v>
      </c>
      <c r="H23" t="s">
        <v>23</v>
      </c>
      <c r="I23">
        <v>7.3</v>
      </c>
      <c r="J23">
        <v>8</v>
      </c>
      <c r="K23" t="s">
        <v>18</v>
      </c>
      <c r="L23">
        <v>1</v>
      </c>
      <c r="M23">
        <v>4</v>
      </c>
      <c r="N23" t="str">
        <f t="shared" si="0"/>
        <v>Low</v>
      </c>
      <c r="O23" t="str">
        <f t="shared" si="1"/>
        <v>Average</v>
      </c>
      <c r="P23" t="str">
        <f t="shared" si="2"/>
        <v>High</v>
      </c>
      <c r="Q23" t="str">
        <f t="shared" si="3"/>
        <v>Good</v>
      </c>
      <c r="R23" t="str">
        <f t="shared" si="4"/>
        <v>Medium</v>
      </c>
    </row>
    <row r="24" spans="1:18" x14ac:dyDescent="0.45">
      <c r="A24">
        <v>23</v>
      </c>
      <c r="B24">
        <v>19</v>
      </c>
      <c r="C24" t="s">
        <v>19</v>
      </c>
      <c r="D24" t="s">
        <v>14</v>
      </c>
      <c r="E24" t="s">
        <v>52</v>
      </c>
      <c r="F24">
        <v>4.9000000000000004</v>
      </c>
      <c r="G24" t="s">
        <v>16</v>
      </c>
      <c r="H24" t="s">
        <v>17</v>
      </c>
      <c r="I24">
        <v>5.8</v>
      </c>
      <c r="J24">
        <v>6</v>
      </c>
      <c r="K24" t="s">
        <v>27</v>
      </c>
      <c r="L24">
        <v>3</v>
      </c>
      <c r="M24">
        <v>7</v>
      </c>
      <c r="N24" t="str">
        <f t="shared" si="0"/>
        <v>Medium</v>
      </c>
      <c r="O24" t="str">
        <f t="shared" si="1"/>
        <v>Average</v>
      </c>
      <c r="P24" t="str">
        <f t="shared" si="2"/>
        <v>Average</v>
      </c>
      <c r="Q24" t="str">
        <f t="shared" si="3"/>
        <v>Bad</v>
      </c>
      <c r="R24" t="str">
        <f t="shared" si="4"/>
        <v>High</v>
      </c>
    </row>
    <row r="25" spans="1:18" x14ac:dyDescent="0.45">
      <c r="A25">
        <v>24</v>
      </c>
      <c r="B25">
        <v>20</v>
      </c>
      <c r="C25" t="s">
        <v>13</v>
      </c>
      <c r="D25" t="s">
        <v>14</v>
      </c>
      <c r="E25" t="s">
        <v>53</v>
      </c>
      <c r="F25">
        <v>5.7</v>
      </c>
      <c r="G25" t="s">
        <v>26</v>
      </c>
      <c r="H25" t="s">
        <v>17</v>
      </c>
      <c r="I25">
        <v>5.4</v>
      </c>
      <c r="J25">
        <v>5</v>
      </c>
      <c r="K25" t="s">
        <v>24</v>
      </c>
      <c r="L25">
        <v>4</v>
      </c>
      <c r="M25">
        <v>8</v>
      </c>
      <c r="N25" t="str">
        <f t="shared" si="0"/>
        <v>Medium</v>
      </c>
      <c r="O25" t="str">
        <f t="shared" si="1"/>
        <v>Average</v>
      </c>
      <c r="P25" t="str">
        <f t="shared" si="2"/>
        <v>Average</v>
      </c>
      <c r="Q25" t="str">
        <f t="shared" si="3"/>
        <v>Bad</v>
      </c>
      <c r="R25" t="str">
        <f t="shared" si="4"/>
        <v>High</v>
      </c>
    </row>
    <row r="26" spans="1:18" x14ac:dyDescent="0.45">
      <c r="A26">
        <v>25</v>
      </c>
      <c r="B26">
        <v>22</v>
      </c>
      <c r="C26" t="s">
        <v>19</v>
      </c>
      <c r="D26" t="s">
        <v>20</v>
      </c>
      <c r="E26" t="s">
        <v>54</v>
      </c>
      <c r="F26">
        <v>3.2</v>
      </c>
      <c r="G26" t="s">
        <v>32</v>
      </c>
      <c r="H26" t="s">
        <v>23</v>
      </c>
      <c r="I26">
        <v>6.9</v>
      </c>
      <c r="J26">
        <v>7</v>
      </c>
      <c r="K26" t="s">
        <v>18</v>
      </c>
      <c r="L26">
        <v>2</v>
      </c>
      <c r="M26">
        <v>5</v>
      </c>
      <c r="N26" t="str">
        <f t="shared" si="0"/>
        <v>Low</v>
      </c>
      <c r="O26" t="str">
        <f t="shared" si="1"/>
        <v>Average</v>
      </c>
      <c r="P26" t="str">
        <f t="shared" si="2"/>
        <v>Average</v>
      </c>
      <c r="Q26" t="str">
        <f t="shared" si="3"/>
        <v>Bad</v>
      </c>
      <c r="R26" t="str">
        <f t="shared" si="4"/>
        <v>Medium</v>
      </c>
    </row>
    <row r="27" spans="1:18" x14ac:dyDescent="0.45">
      <c r="A27">
        <v>26</v>
      </c>
      <c r="B27">
        <v>19</v>
      </c>
      <c r="C27" t="s">
        <v>13</v>
      </c>
      <c r="D27" t="s">
        <v>28</v>
      </c>
      <c r="E27" t="s">
        <v>55</v>
      </c>
      <c r="F27">
        <v>6.1</v>
      </c>
      <c r="G27" t="s">
        <v>16</v>
      </c>
      <c r="H27" t="s">
        <v>17</v>
      </c>
      <c r="I27">
        <v>5.2</v>
      </c>
      <c r="J27">
        <v>5</v>
      </c>
      <c r="K27" t="s">
        <v>27</v>
      </c>
      <c r="L27">
        <v>4</v>
      </c>
      <c r="M27">
        <v>9</v>
      </c>
      <c r="N27" t="str">
        <f t="shared" si="0"/>
        <v>Medium</v>
      </c>
      <c r="O27" t="str">
        <f t="shared" si="1"/>
        <v>Average</v>
      </c>
      <c r="P27" t="str">
        <f t="shared" si="2"/>
        <v>Average</v>
      </c>
      <c r="Q27" t="str">
        <f t="shared" si="3"/>
        <v>Bad</v>
      </c>
      <c r="R27" t="str">
        <f t="shared" si="4"/>
        <v>High</v>
      </c>
    </row>
    <row r="28" spans="1:18" x14ac:dyDescent="0.45">
      <c r="A28">
        <v>27</v>
      </c>
      <c r="B28">
        <v>21</v>
      </c>
      <c r="C28" t="s">
        <v>19</v>
      </c>
      <c r="D28" t="s">
        <v>14</v>
      </c>
      <c r="E28" t="s">
        <v>56</v>
      </c>
      <c r="F28">
        <v>3.8</v>
      </c>
      <c r="G28" t="s">
        <v>30</v>
      </c>
      <c r="H28" t="s">
        <v>23</v>
      </c>
      <c r="I28">
        <v>6.6</v>
      </c>
      <c r="J28">
        <v>7</v>
      </c>
      <c r="K28" t="s">
        <v>24</v>
      </c>
      <c r="L28">
        <v>1</v>
      </c>
      <c r="M28">
        <v>5</v>
      </c>
      <c r="N28" t="str">
        <f t="shared" si="0"/>
        <v>Medium</v>
      </c>
      <c r="O28" t="str">
        <f t="shared" si="1"/>
        <v>High</v>
      </c>
      <c r="P28" t="str">
        <f t="shared" si="2"/>
        <v>Average</v>
      </c>
      <c r="Q28" t="str">
        <f t="shared" si="3"/>
        <v>Bad</v>
      </c>
      <c r="R28" t="str">
        <f t="shared" si="4"/>
        <v>Medium</v>
      </c>
    </row>
    <row r="29" spans="1:18" x14ac:dyDescent="0.45">
      <c r="A29">
        <v>28</v>
      </c>
      <c r="B29">
        <v>20</v>
      </c>
      <c r="C29" t="s">
        <v>13</v>
      </c>
      <c r="D29" t="s">
        <v>14</v>
      </c>
      <c r="E29" t="s">
        <v>57</v>
      </c>
      <c r="F29">
        <v>4.4000000000000004</v>
      </c>
      <c r="G29" t="s">
        <v>26</v>
      </c>
      <c r="H29" t="s">
        <v>17</v>
      </c>
      <c r="I29">
        <v>5.9</v>
      </c>
      <c r="J29">
        <v>6</v>
      </c>
      <c r="K29" t="s">
        <v>18</v>
      </c>
      <c r="L29">
        <v>3</v>
      </c>
      <c r="M29">
        <v>7</v>
      </c>
      <c r="N29" t="str">
        <f t="shared" si="0"/>
        <v>Medium</v>
      </c>
      <c r="O29" t="str">
        <f t="shared" si="1"/>
        <v>Average</v>
      </c>
      <c r="P29" t="str">
        <f t="shared" si="2"/>
        <v>Average</v>
      </c>
      <c r="Q29" t="str">
        <f t="shared" si="3"/>
        <v>Bad</v>
      </c>
      <c r="R29" t="str">
        <f t="shared" si="4"/>
        <v>High</v>
      </c>
    </row>
    <row r="30" spans="1:18" x14ac:dyDescent="0.45">
      <c r="A30">
        <v>29</v>
      </c>
      <c r="B30">
        <v>24</v>
      </c>
      <c r="C30" t="s">
        <v>19</v>
      </c>
      <c r="D30" t="s">
        <v>20</v>
      </c>
      <c r="E30" t="s">
        <v>58</v>
      </c>
      <c r="F30">
        <v>2.2000000000000002</v>
      </c>
      <c r="G30" t="s">
        <v>35</v>
      </c>
      <c r="H30" t="s">
        <v>23</v>
      </c>
      <c r="I30">
        <v>7.4</v>
      </c>
      <c r="J30">
        <v>8</v>
      </c>
      <c r="K30" t="s">
        <v>24</v>
      </c>
      <c r="L30">
        <v>0</v>
      </c>
      <c r="M30">
        <v>3</v>
      </c>
      <c r="N30" t="str">
        <f t="shared" si="0"/>
        <v>Low</v>
      </c>
      <c r="O30" t="str">
        <f t="shared" si="1"/>
        <v>Average</v>
      </c>
      <c r="P30" t="str">
        <f t="shared" si="2"/>
        <v>High</v>
      </c>
      <c r="Q30" t="str">
        <f t="shared" si="3"/>
        <v>Good</v>
      </c>
      <c r="R30" t="str">
        <f t="shared" si="4"/>
        <v>Less</v>
      </c>
    </row>
    <row r="31" spans="1:18" x14ac:dyDescent="0.45">
      <c r="A31">
        <v>30</v>
      </c>
      <c r="B31">
        <v>19</v>
      </c>
      <c r="C31" t="s">
        <v>13</v>
      </c>
      <c r="D31" t="s">
        <v>28</v>
      </c>
      <c r="E31" t="s">
        <v>59</v>
      </c>
      <c r="F31">
        <v>5.9</v>
      </c>
      <c r="G31" t="s">
        <v>16</v>
      </c>
      <c r="H31" t="s">
        <v>17</v>
      </c>
      <c r="I31">
        <v>5.3</v>
      </c>
      <c r="J31">
        <v>5</v>
      </c>
      <c r="K31" t="s">
        <v>27</v>
      </c>
      <c r="L31">
        <v>4</v>
      </c>
      <c r="M31">
        <v>8</v>
      </c>
      <c r="N31" t="str">
        <f t="shared" si="0"/>
        <v>Medium</v>
      </c>
      <c r="O31" t="str">
        <f t="shared" si="1"/>
        <v>Average</v>
      </c>
      <c r="P31" t="str">
        <f t="shared" si="2"/>
        <v>Average</v>
      </c>
      <c r="Q31" t="str">
        <f t="shared" si="3"/>
        <v>Bad</v>
      </c>
      <c r="R31" t="str">
        <f t="shared" si="4"/>
        <v>High</v>
      </c>
    </row>
    <row r="32" spans="1:18" x14ac:dyDescent="0.45">
      <c r="A32">
        <v>31</v>
      </c>
      <c r="B32">
        <v>21</v>
      </c>
      <c r="C32" t="s">
        <v>19</v>
      </c>
      <c r="D32" t="s">
        <v>14</v>
      </c>
      <c r="E32" t="s">
        <v>60</v>
      </c>
      <c r="F32">
        <v>3.6</v>
      </c>
      <c r="G32" t="s">
        <v>32</v>
      </c>
      <c r="H32" t="s">
        <v>23</v>
      </c>
      <c r="I32">
        <v>6.7</v>
      </c>
      <c r="J32">
        <v>7</v>
      </c>
      <c r="K32" t="s">
        <v>24</v>
      </c>
      <c r="L32">
        <v>1</v>
      </c>
      <c r="M32">
        <v>5</v>
      </c>
      <c r="N32" t="str">
        <f t="shared" si="0"/>
        <v>Medium</v>
      </c>
      <c r="O32" t="str">
        <f t="shared" si="1"/>
        <v>Average</v>
      </c>
      <c r="P32" t="str">
        <f t="shared" si="2"/>
        <v>Average</v>
      </c>
      <c r="Q32" t="str">
        <f t="shared" si="3"/>
        <v>Bad</v>
      </c>
      <c r="R32" t="str">
        <f t="shared" si="4"/>
        <v>Medium</v>
      </c>
    </row>
    <row r="33" spans="1:18" x14ac:dyDescent="0.45">
      <c r="A33">
        <v>32</v>
      </c>
      <c r="B33">
        <v>20</v>
      </c>
      <c r="C33" t="s">
        <v>13</v>
      </c>
      <c r="D33" t="s">
        <v>14</v>
      </c>
      <c r="E33" t="s">
        <v>61</v>
      </c>
      <c r="F33">
        <v>4.8</v>
      </c>
      <c r="G33" t="s">
        <v>37</v>
      </c>
      <c r="H33" t="s">
        <v>17</v>
      </c>
      <c r="I33">
        <v>5.7</v>
      </c>
      <c r="J33">
        <v>6</v>
      </c>
      <c r="K33" t="s">
        <v>18</v>
      </c>
      <c r="L33">
        <v>3</v>
      </c>
      <c r="M33">
        <v>7</v>
      </c>
      <c r="N33" t="str">
        <f t="shared" si="0"/>
        <v>Medium</v>
      </c>
      <c r="O33" t="str">
        <f t="shared" si="1"/>
        <v>High</v>
      </c>
      <c r="P33" t="str">
        <f t="shared" si="2"/>
        <v>Average</v>
      </c>
      <c r="Q33" t="str">
        <f t="shared" si="3"/>
        <v>Bad</v>
      </c>
      <c r="R33" t="str">
        <f t="shared" si="4"/>
        <v>High</v>
      </c>
    </row>
    <row r="34" spans="1:18" x14ac:dyDescent="0.45">
      <c r="A34">
        <v>33</v>
      </c>
      <c r="B34">
        <v>18</v>
      </c>
      <c r="C34" t="s">
        <v>19</v>
      </c>
      <c r="D34" t="s">
        <v>28</v>
      </c>
      <c r="E34" t="s">
        <v>62</v>
      </c>
      <c r="F34">
        <v>5.4</v>
      </c>
      <c r="G34" t="s">
        <v>26</v>
      </c>
      <c r="H34" t="s">
        <v>17</v>
      </c>
      <c r="I34">
        <v>5.4</v>
      </c>
      <c r="J34">
        <v>5</v>
      </c>
      <c r="K34" t="s">
        <v>27</v>
      </c>
      <c r="L34">
        <v>4</v>
      </c>
      <c r="M34">
        <v>8</v>
      </c>
      <c r="N34" t="str">
        <f t="shared" si="0"/>
        <v>Medium</v>
      </c>
      <c r="O34" t="str">
        <f t="shared" si="1"/>
        <v>Average</v>
      </c>
      <c r="P34" t="str">
        <f t="shared" si="2"/>
        <v>Average</v>
      </c>
      <c r="Q34" t="str">
        <f t="shared" si="3"/>
        <v>Bad</v>
      </c>
      <c r="R34" t="str">
        <f t="shared" si="4"/>
        <v>High</v>
      </c>
    </row>
    <row r="35" spans="1:18" x14ac:dyDescent="0.45">
      <c r="A35">
        <v>34</v>
      </c>
      <c r="B35">
        <v>23</v>
      </c>
      <c r="C35" t="s">
        <v>13</v>
      </c>
      <c r="D35" t="s">
        <v>20</v>
      </c>
      <c r="E35" t="s">
        <v>63</v>
      </c>
      <c r="F35">
        <v>2.6</v>
      </c>
      <c r="G35" t="s">
        <v>35</v>
      </c>
      <c r="H35" t="s">
        <v>23</v>
      </c>
      <c r="I35">
        <v>7.2</v>
      </c>
      <c r="J35">
        <v>8</v>
      </c>
      <c r="K35" t="s">
        <v>24</v>
      </c>
      <c r="L35">
        <v>1</v>
      </c>
      <c r="M35">
        <v>4</v>
      </c>
      <c r="N35" t="str">
        <f t="shared" si="0"/>
        <v>Low</v>
      </c>
      <c r="O35" t="str">
        <f t="shared" si="1"/>
        <v>Average</v>
      </c>
      <c r="P35" t="str">
        <f t="shared" si="2"/>
        <v>High</v>
      </c>
      <c r="Q35" t="str">
        <f t="shared" si="3"/>
        <v>Good</v>
      </c>
      <c r="R35" t="str">
        <f t="shared" si="4"/>
        <v>Medium</v>
      </c>
    </row>
    <row r="36" spans="1:18" x14ac:dyDescent="0.45">
      <c r="A36">
        <v>35</v>
      </c>
      <c r="B36">
        <v>19</v>
      </c>
      <c r="C36" t="s">
        <v>19</v>
      </c>
      <c r="D36" t="s">
        <v>14</v>
      </c>
      <c r="E36" t="s">
        <v>64</v>
      </c>
      <c r="F36">
        <v>4.7</v>
      </c>
      <c r="G36" t="s">
        <v>16</v>
      </c>
      <c r="H36" t="s">
        <v>17</v>
      </c>
      <c r="I36">
        <v>5.8</v>
      </c>
      <c r="J36">
        <v>6</v>
      </c>
      <c r="K36" t="s">
        <v>18</v>
      </c>
      <c r="L36">
        <v>3</v>
      </c>
      <c r="M36">
        <v>7</v>
      </c>
      <c r="N36" t="str">
        <f t="shared" si="0"/>
        <v>Medium</v>
      </c>
      <c r="O36" t="str">
        <f t="shared" si="1"/>
        <v>Average</v>
      </c>
      <c r="P36" t="str">
        <f t="shared" si="2"/>
        <v>Average</v>
      </c>
      <c r="Q36" t="str">
        <f t="shared" si="3"/>
        <v>Bad</v>
      </c>
      <c r="R36" t="str">
        <f t="shared" si="4"/>
        <v>High</v>
      </c>
    </row>
    <row r="37" spans="1:18" x14ac:dyDescent="0.45">
      <c r="A37">
        <v>36</v>
      </c>
      <c r="B37">
        <v>20</v>
      </c>
      <c r="C37" t="s">
        <v>13</v>
      </c>
      <c r="D37" t="s">
        <v>14</v>
      </c>
      <c r="E37" t="s">
        <v>65</v>
      </c>
      <c r="F37">
        <v>5.6</v>
      </c>
      <c r="G37" t="s">
        <v>26</v>
      </c>
      <c r="H37" t="s">
        <v>17</v>
      </c>
      <c r="I37">
        <v>5.5</v>
      </c>
      <c r="J37">
        <v>5</v>
      </c>
      <c r="K37" t="s">
        <v>27</v>
      </c>
      <c r="L37">
        <v>4</v>
      </c>
      <c r="M37">
        <v>8</v>
      </c>
      <c r="N37" t="str">
        <f t="shared" si="0"/>
        <v>Medium</v>
      </c>
      <c r="O37" t="str">
        <f t="shared" si="1"/>
        <v>Average</v>
      </c>
      <c r="P37" t="str">
        <f t="shared" si="2"/>
        <v>Average</v>
      </c>
      <c r="Q37" t="str">
        <f t="shared" si="3"/>
        <v>Bad</v>
      </c>
      <c r="R37" t="str">
        <f t="shared" si="4"/>
        <v>High</v>
      </c>
    </row>
    <row r="38" spans="1:18" x14ac:dyDescent="0.45">
      <c r="A38">
        <v>37</v>
      </c>
      <c r="B38">
        <v>22</v>
      </c>
      <c r="C38" t="s">
        <v>19</v>
      </c>
      <c r="D38" t="s">
        <v>20</v>
      </c>
      <c r="E38" t="s">
        <v>66</v>
      </c>
      <c r="F38">
        <v>3.1</v>
      </c>
      <c r="G38" t="s">
        <v>32</v>
      </c>
      <c r="H38" t="s">
        <v>23</v>
      </c>
      <c r="I38">
        <v>6.8</v>
      </c>
      <c r="J38">
        <v>7</v>
      </c>
      <c r="K38" t="s">
        <v>24</v>
      </c>
      <c r="L38">
        <v>1</v>
      </c>
      <c r="M38">
        <v>5</v>
      </c>
      <c r="N38" t="str">
        <f t="shared" si="0"/>
        <v>Low</v>
      </c>
      <c r="O38" t="str">
        <f t="shared" si="1"/>
        <v>Average</v>
      </c>
      <c r="P38" t="str">
        <f t="shared" si="2"/>
        <v>Average</v>
      </c>
      <c r="Q38" t="str">
        <f t="shared" si="3"/>
        <v>Bad</v>
      </c>
      <c r="R38" t="str">
        <f t="shared" si="4"/>
        <v>Medium</v>
      </c>
    </row>
    <row r="39" spans="1:18" x14ac:dyDescent="0.45">
      <c r="A39">
        <v>38</v>
      </c>
      <c r="B39">
        <v>19</v>
      </c>
      <c r="C39" t="s">
        <v>13</v>
      </c>
      <c r="D39" t="s">
        <v>28</v>
      </c>
      <c r="E39" t="s">
        <v>67</v>
      </c>
      <c r="F39">
        <v>6.2</v>
      </c>
      <c r="G39" t="s">
        <v>16</v>
      </c>
      <c r="H39" t="s">
        <v>17</v>
      </c>
      <c r="I39">
        <v>5.0999999999999996</v>
      </c>
      <c r="J39">
        <v>5</v>
      </c>
      <c r="K39" t="s">
        <v>18</v>
      </c>
      <c r="L39">
        <v>4</v>
      </c>
      <c r="M39">
        <v>9</v>
      </c>
      <c r="N39" t="str">
        <f t="shared" si="0"/>
        <v>Medium</v>
      </c>
      <c r="O39" t="str">
        <f t="shared" si="1"/>
        <v>Average</v>
      </c>
      <c r="P39" t="str">
        <f t="shared" si="2"/>
        <v>Average</v>
      </c>
      <c r="Q39" t="str">
        <f t="shared" si="3"/>
        <v>Bad</v>
      </c>
      <c r="R39" t="str">
        <f t="shared" si="4"/>
        <v>High</v>
      </c>
    </row>
    <row r="40" spans="1:18" x14ac:dyDescent="0.45">
      <c r="A40">
        <v>39</v>
      </c>
      <c r="B40">
        <v>21</v>
      </c>
      <c r="C40" t="s">
        <v>19</v>
      </c>
      <c r="D40" t="s">
        <v>14</v>
      </c>
      <c r="E40" t="s">
        <v>68</v>
      </c>
      <c r="F40">
        <v>3.9</v>
      </c>
      <c r="G40" t="s">
        <v>30</v>
      </c>
      <c r="H40" t="s">
        <v>23</v>
      </c>
      <c r="I40">
        <v>6.5</v>
      </c>
      <c r="J40">
        <v>7</v>
      </c>
      <c r="K40" t="s">
        <v>27</v>
      </c>
      <c r="L40">
        <v>2</v>
      </c>
      <c r="M40">
        <v>6</v>
      </c>
      <c r="N40" t="str">
        <f t="shared" si="0"/>
        <v>Medium</v>
      </c>
      <c r="O40" t="str">
        <f t="shared" si="1"/>
        <v>High</v>
      </c>
      <c r="P40" t="str">
        <f t="shared" si="2"/>
        <v>Average</v>
      </c>
      <c r="Q40" t="str">
        <f t="shared" si="3"/>
        <v>Bad</v>
      </c>
      <c r="R40" t="str">
        <f t="shared" si="4"/>
        <v>Medium</v>
      </c>
    </row>
    <row r="41" spans="1:18" x14ac:dyDescent="0.45">
      <c r="A41">
        <v>40</v>
      </c>
      <c r="B41">
        <v>20</v>
      </c>
      <c r="C41" t="s">
        <v>13</v>
      </c>
      <c r="D41" t="s">
        <v>14</v>
      </c>
      <c r="E41" t="s">
        <v>69</v>
      </c>
      <c r="F41">
        <v>4.5</v>
      </c>
      <c r="G41" t="s">
        <v>26</v>
      </c>
      <c r="H41" t="s">
        <v>17</v>
      </c>
      <c r="I41">
        <v>5.8</v>
      </c>
      <c r="J41">
        <v>6</v>
      </c>
      <c r="K41" t="s">
        <v>24</v>
      </c>
      <c r="L41">
        <v>3</v>
      </c>
      <c r="M41">
        <v>7</v>
      </c>
      <c r="N41" t="str">
        <f t="shared" si="0"/>
        <v>Medium</v>
      </c>
      <c r="O41" t="str">
        <f t="shared" si="1"/>
        <v>Average</v>
      </c>
      <c r="P41" t="str">
        <f t="shared" si="2"/>
        <v>Average</v>
      </c>
      <c r="Q41" t="str">
        <f t="shared" si="3"/>
        <v>Bad</v>
      </c>
      <c r="R41" t="str">
        <f t="shared" si="4"/>
        <v>High</v>
      </c>
    </row>
    <row r="42" spans="1:18" x14ac:dyDescent="0.45">
      <c r="A42">
        <v>41</v>
      </c>
      <c r="B42">
        <v>24</v>
      </c>
      <c r="C42" t="s">
        <v>19</v>
      </c>
      <c r="D42" t="s">
        <v>20</v>
      </c>
      <c r="E42" t="s">
        <v>70</v>
      </c>
      <c r="F42">
        <v>2.2999999999999998</v>
      </c>
      <c r="G42" t="s">
        <v>35</v>
      </c>
      <c r="H42" t="s">
        <v>23</v>
      </c>
      <c r="I42">
        <v>7.3</v>
      </c>
      <c r="J42">
        <v>8</v>
      </c>
      <c r="K42" t="s">
        <v>18</v>
      </c>
      <c r="L42">
        <v>1</v>
      </c>
      <c r="M42">
        <v>4</v>
      </c>
      <c r="N42" t="str">
        <f t="shared" si="0"/>
        <v>Low</v>
      </c>
      <c r="O42" t="str">
        <f t="shared" si="1"/>
        <v>Average</v>
      </c>
      <c r="P42" t="str">
        <f t="shared" si="2"/>
        <v>High</v>
      </c>
      <c r="Q42" t="str">
        <f t="shared" si="3"/>
        <v>Good</v>
      </c>
      <c r="R42" t="str">
        <f t="shared" si="4"/>
        <v>Medium</v>
      </c>
    </row>
    <row r="43" spans="1:18" x14ac:dyDescent="0.45">
      <c r="A43">
        <v>42</v>
      </c>
      <c r="B43">
        <v>19</v>
      </c>
      <c r="C43" t="s">
        <v>13</v>
      </c>
      <c r="D43" t="s">
        <v>28</v>
      </c>
      <c r="E43" t="s">
        <v>71</v>
      </c>
      <c r="F43">
        <v>5.8</v>
      </c>
      <c r="G43" t="s">
        <v>16</v>
      </c>
      <c r="H43" t="s">
        <v>17</v>
      </c>
      <c r="I43">
        <v>5.4</v>
      </c>
      <c r="J43">
        <v>5</v>
      </c>
      <c r="K43" t="s">
        <v>27</v>
      </c>
      <c r="L43">
        <v>4</v>
      </c>
      <c r="M43">
        <v>8</v>
      </c>
      <c r="N43" t="str">
        <f t="shared" si="0"/>
        <v>Medium</v>
      </c>
      <c r="O43" t="str">
        <f t="shared" si="1"/>
        <v>Average</v>
      </c>
      <c r="P43" t="str">
        <f t="shared" si="2"/>
        <v>Average</v>
      </c>
      <c r="Q43" t="str">
        <f t="shared" si="3"/>
        <v>Bad</v>
      </c>
      <c r="R43" t="str">
        <f t="shared" si="4"/>
        <v>High</v>
      </c>
    </row>
    <row r="44" spans="1:18" x14ac:dyDescent="0.45">
      <c r="A44">
        <v>43</v>
      </c>
      <c r="B44">
        <v>21</v>
      </c>
      <c r="C44" t="s">
        <v>19</v>
      </c>
      <c r="D44" t="s">
        <v>14</v>
      </c>
      <c r="E44" t="s">
        <v>72</v>
      </c>
      <c r="F44">
        <v>3.7</v>
      </c>
      <c r="G44" t="s">
        <v>32</v>
      </c>
      <c r="H44" t="s">
        <v>23</v>
      </c>
      <c r="I44">
        <v>6.6</v>
      </c>
      <c r="J44">
        <v>7</v>
      </c>
      <c r="K44" t="s">
        <v>24</v>
      </c>
      <c r="L44">
        <v>2</v>
      </c>
      <c r="M44">
        <v>5</v>
      </c>
      <c r="N44" t="str">
        <f t="shared" si="0"/>
        <v>Medium</v>
      </c>
      <c r="O44" t="str">
        <f t="shared" si="1"/>
        <v>Average</v>
      </c>
      <c r="P44" t="str">
        <f t="shared" si="2"/>
        <v>Average</v>
      </c>
      <c r="Q44" t="str">
        <f t="shared" si="3"/>
        <v>Bad</v>
      </c>
      <c r="R44" t="str">
        <f t="shared" si="4"/>
        <v>Medium</v>
      </c>
    </row>
    <row r="45" spans="1:18" x14ac:dyDescent="0.45">
      <c r="A45">
        <v>44</v>
      </c>
      <c r="B45">
        <v>20</v>
      </c>
      <c r="C45" t="s">
        <v>13</v>
      </c>
      <c r="D45" t="s">
        <v>14</v>
      </c>
      <c r="E45" t="s">
        <v>73</v>
      </c>
      <c r="F45">
        <v>4.5999999999999996</v>
      </c>
      <c r="G45" t="s">
        <v>37</v>
      </c>
      <c r="H45" t="s">
        <v>17</v>
      </c>
      <c r="I45">
        <v>5.7</v>
      </c>
      <c r="J45">
        <v>6</v>
      </c>
      <c r="K45" t="s">
        <v>18</v>
      </c>
      <c r="L45">
        <v>3</v>
      </c>
      <c r="M45">
        <v>7</v>
      </c>
      <c r="N45" t="str">
        <f t="shared" si="0"/>
        <v>Medium</v>
      </c>
      <c r="O45" t="str">
        <f t="shared" si="1"/>
        <v>Average</v>
      </c>
      <c r="P45" t="str">
        <f t="shared" si="2"/>
        <v>Average</v>
      </c>
      <c r="Q45" t="str">
        <f t="shared" si="3"/>
        <v>Bad</v>
      </c>
      <c r="R45" t="str">
        <f t="shared" si="4"/>
        <v>High</v>
      </c>
    </row>
    <row r="46" spans="1:18" x14ac:dyDescent="0.45">
      <c r="A46">
        <v>45</v>
      </c>
      <c r="B46">
        <v>18</v>
      </c>
      <c r="C46" t="s">
        <v>19</v>
      </c>
      <c r="D46" t="s">
        <v>28</v>
      </c>
      <c r="E46" t="s">
        <v>74</v>
      </c>
      <c r="F46">
        <v>5.5</v>
      </c>
      <c r="G46" t="s">
        <v>26</v>
      </c>
      <c r="H46" t="s">
        <v>17</v>
      </c>
      <c r="I46">
        <v>5.3</v>
      </c>
      <c r="J46">
        <v>5</v>
      </c>
      <c r="K46" t="s">
        <v>24</v>
      </c>
      <c r="L46">
        <v>4</v>
      </c>
      <c r="M46">
        <v>8</v>
      </c>
      <c r="N46" t="str">
        <f t="shared" si="0"/>
        <v>Medium</v>
      </c>
      <c r="O46" t="str">
        <f t="shared" si="1"/>
        <v>Average</v>
      </c>
      <c r="P46" t="str">
        <f t="shared" si="2"/>
        <v>Average</v>
      </c>
      <c r="Q46" t="str">
        <f t="shared" si="3"/>
        <v>Bad</v>
      </c>
      <c r="R46" t="str">
        <f t="shared" si="4"/>
        <v>High</v>
      </c>
    </row>
    <row r="47" spans="1:18" x14ac:dyDescent="0.45">
      <c r="A47">
        <v>46</v>
      </c>
      <c r="B47">
        <v>23</v>
      </c>
      <c r="C47" t="s">
        <v>13</v>
      </c>
      <c r="D47" t="s">
        <v>20</v>
      </c>
      <c r="E47" t="s">
        <v>75</v>
      </c>
      <c r="F47">
        <v>2.7</v>
      </c>
      <c r="G47" t="s">
        <v>35</v>
      </c>
      <c r="H47" t="s">
        <v>23</v>
      </c>
      <c r="I47">
        <v>7.1</v>
      </c>
      <c r="J47">
        <v>8</v>
      </c>
      <c r="K47" t="s">
        <v>27</v>
      </c>
      <c r="L47">
        <v>1</v>
      </c>
      <c r="M47">
        <v>4</v>
      </c>
      <c r="N47" t="str">
        <f t="shared" si="0"/>
        <v>Low</v>
      </c>
      <c r="O47" t="str">
        <f t="shared" si="1"/>
        <v>Average</v>
      </c>
      <c r="P47" t="str">
        <f t="shared" si="2"/>
        <v>High</v>
      </c>
      <c r="Q47" t="str">
        <f t="shared" si="3"/>
        <v>Good</v>
      </c>
      <c r="R47" t="str">
        <f t="shared" si="4"/>
        <v>Medium</v>
      </c>
    </row>
    <row r="48" spans="1:18" x14ac:dyDescent="0.45">
      <c r="A48">
        <v>47</v>
      </c>
      <c r="B48">
        <v>19</v>
      </c>
      <c r="C48" t="s">
        <v>19</v>
      </c>
      <c r="D48" t="s">
        <v>14</v>
      </c>
      <c r="E48" t="s">
        <v>76</v>
      </c>
      <c r="F48">
        <v>4.8</v>
      </c>
      <c r="G48" t="s">
        <v>16</v>
      </c>
      <c r="H48" t="s">
        <v>17</v>
      </c>
      <c r="I48">
        <v>5.9</v>
      </c>
      <c r="J48">
        <v>6</v>
      </c>
      <c r="K48" t="s">
        <v>18</v>
      </c>
      <c r="L48">
        <v>3</v>
      </c>
      <c r="M48">
        <v>7</v>
      </c>
      <c r="N48" t="str">
        <f t="shared" si="0"/>
        <v>Medium</v>
      </c>
      <c r="O48" t="str">
        <f t="shared" si="1"/>
        <v>High</v>
      </c>
      <c r="P48" t="str">
        <f t="shared" si="2"/>
        <v>Average</v>
      </c>
      <c r="Q48" t="str">
        <f t="shared" si="3"/>
        <v>Bad</v>
      </c>
      <c r="R48" t="str">
        <f t="shared" si="4"/>
        <v>High</v>
      </c>
    </row>
    <row r="49" spans="1:18" x14ac:dyDescent="0.45">
      <c r="A49">
        <v>48</v>
      </c>
      <c r="B49">
        <v>20</v>
      </c>
      <c r="C49" t="s">
        <v>13</v>
      </c>
      <c r="D49" t="s">
        <v>14</v>
      </c>
      <c r="E49" t="s">
        <v>77</v>
      </c>
      <c r="F49">
        <v>5.5</v>
      </c>
      <c r="G49" t="s">
        <v>26</v>
      </c>
      <c r="H49" t="s">
        <v>17</v>
      </c>
      <c r="I49">
        <v>5.6</v>
      </c>
      <c r="J49">
        <v>5</v>
      </c>
      <c r="K49" t="s">
        <v>24</v>
      </c>
      <c r="L49">
        <v>4</v>
      </c>
      <c r="M49">
        <v>8</v>
      </c>
      <c r="N49" t="str">
        <f t="shared" si="0"/>
        <v>Medium</v>
      </c>
      <c r="O49" t="str">
        <f t="shared" si="1"/>
        <v>Average</v>
      </c>
      <c r="P49" t="str">
        <f t="shared" si="2"/>
        <v>Average</v>
      </c>
      <c r="Q49" t="str">
        <f t="shared" si="3"/>
        <v>Bad</v>
      </c>
      <c r="R49" t="str">
        <f t="shared" si="4"/>
        <v>High</v>
      </c>
    </row>
    <row r="50" spans="1:18" x14ac:dyDescent="0.45">
      <c r="A50">
        <v>49</v>
      </c>
      <c r="B50">
        <v>22</v>
      </c>
      <c r="C50" t="s">
        <v>19</v>
      </c>
      <c r="D50" t="s">
        <v>20</v>
      </c>
      <c r="E50" t="s">
        <v>78</v>
      </c>
      <c r="F50">
        <v>3.3</v>
      </c>
      <c r="G50" t="s">
        <v>32</v>
      </c>
      <c r="H50" t="s">
        <v>23</v>
      </c>
      <c r="I50">
        <v>6.7</v>
      </c>
      <c r="J50">
        <v>7</v>
      </c>
      <c r="K50" t="s">
        <v>18</v>
      </c>
      <c r="L50">
        <v>2</v>
      </c>
      <c r="M50">
        <v>5</v>
      </c>
      <c r="N50" t="str">
        <f t="shared" si="0"/>
        <v>Low</v>
      </c>
      <c r="O50" t="str">
        <f t="shared" si="1"/>
        <v>Average</v>
      </c>
      <c r="P50" t="str">
        <f t="shared" si="2"/>
        <v>Average</v>
      </c>
      <c r="Q50" t="str">
        <f t="shared" si="3"/>
        <v>Bad</v>
      </c>
      <c r="R50" t="str">
        <f t="shared" si="4"/>
        <v>Medium</v>
      </c>
    </row>
    <row r="51" spans="1:18" x14ac:dyDescent="0.45">
      <c r="A51">
        <v>50</v>
      </c>
      <c r="B51">
        <v>19</v>
      </c>
      <c r="C51" t="s">
        <v>13</v>
      </c>
      <c r="D51" t="s">
        <v>28</v>
      </c>
      <c r="E51" t="s">
        <v>79</v>
      </c>
      <c r="F51">
        <v>6.3</v>
      </c>
      <c r="G51" t="s">
        <v>16</v>
      </c>
      <c r="H51" t="s">
        <v>17</v>
      </c>
      <c r="I51">
        <v>5.2</v>
      </c>
      <c r="J51">
        <v>5</v>
      </c>
      <c r="K51" t="s">
        <v>27</v>
      </c>
      <c r="L51">
        <v>4</v>
      </c>
      <c r="M51">
        <v>9</v>
      </c>
      <c r="N51" t="str">
        <f t="shared" si="0"/>
        <v>Medium</v>
      </c>
      <c r="O51" t="str">
        <f t="shared" si="1"/>
        <v>Average</v>
      </c>
      <c r="P51" t="str">
        <f t="shared" si="2"/>
        <v>Average</v>
      </c>
      <c r="Q51" t="str">
        <f t="shared" si="3"/>
        <v>Bad</v>
      </c>
      <c r="R51" t="str">
        <f t="shared" si="4"/>
        <v>High</v>
      </c>
    </row>
    <row r="52" spans="1:18" x14ac:dyDescent="0.45">
      <c r="A52">
        <v>51</v>
      </c>
      <c r="B52">
        <v>21</v>
      </c>
      <c r="C52" t="s">
        <v>19</v>
      </c>
      <c r="D52" t="s">
        <v>14</v>
      </c>
      <c r="E52" t="s">
        <v>80</v>
      </c>
      <c r="F52">
        <v>3.8</v>
      </c>
      <c r="G52" t="s">
        <v>30</v>
      </c>
      <c r="H52" t="s">
        <v>23</v>
      </c>
      <c r="I52">
        <v>6.4</v>
      </c>
      <c r="J52">
        <v>7</v>
      </c>
      <c r="K52" t="s">
        <v>24</v>
      </c>
      <c r="L52">
        <v>2</v>
      </c>
      <c r="M52">
        <v>6</v>
      </c>
      <c r="N52" t="str">
        <f t="shared" si="0"/>
        <v>Medium</v>
      </c>
      <c r="O52" t="str">
        <f t="shared" si="1"/>
        <v>High</v>
      </c>
      <c r="P52" t="str">
        <f t="shared" si="2"/>
        <v>Average</v>
      </c>
      <c r="Q52" t="str">
        <f t="shared" si="3"/>
        <v>Bad</v>
      </c>
      <c r="R52" t="str">
        <f t="shared" si="4"/>
        <v>Medium</v>
      </c>
    </row>
    <row r="53" spans="1:18" x14ac:dyDescent="0.45">
      <c r="A53">
        <v>52</v>
      </c>
      <c r="B53">
        <v>20</v>
      </c>
      <c r="C53" t="s">
        <v>13</v>
      </c>
      <c r="D53" t="s">
        <v>14</v>
      </c>
      <c r="E53" t="s">
        <v>81</v>
      </c>
      <c r="F53">
        <v>4.7</v>
      </c>
      <c r="G53" t="s">
        <v>26</v>
      </c>
      <c r="H53" t="s">
        <v>17</v>
      </c>
      <c r="I53">
        <v>5.8</v>
      </c>
      <c r="J53">
        <v>6</v>
      </c>
      <c r="K53" t="s">
        <v>18</v>
      </c>
      <c r="L53">
        <v>3</v>
      </c>
      <c r="M53">
        <v>7</v>
      </c>
      <c r="N53" t="str">
        <f t="shared" si="0"/>
        <v>Medium</v>
      </c>
      <c r="O53" t="str">
        <f t="shared" si="1"/>
        <v>Average</v>
      </c>
      <c r="P53" t="str">
        <f t="shared" si="2"/>
        <v>Average</v>
      </c>
      <c r="Q53" t="str">
        <f t="shared" si="3"/>
        <v>Bad</v>
      </c>
      <c r="R53" t="str">
        <f t="shared" si="4"/>
        <v>High</v>
      </c>
    </row>
    <row r="54" spans="1:18" x14ac:dyDescent="0.45">
      <c r="A54">
        <v>53</v>
      </c>
      <c r="B54">
        <v>24</v>
      </c>
      <c r="C54" t="s">
        <v>19</v>
      </c>
      <c r="D54" t="s">
        <v>20</v>
      </c>
      <c r="E54" t="s">
        <v>82</v>
      </c>
      <c r="F54">
        <v>2.4</v>
      </c>
      <c r="G54" t="s">
        <v>35</v>
      </c>
      <c r="H54" t="s">
        <v>23</v>
      </c>
      <c r="I54">
        <v>7.2</v>
      </c>
      <c r="J54">
        <v>8</v>
      </c>
      <c r="K54" t="s">
        <v>27</v>
      </c>
      <c r="L54">
        <v>1</v>
      </c>
      <c r="M54">
        <v>4</v>
      </c>
      <c r="N54" t="str">
        <f t="shared" si="0"/>
        <v>Low</v>
      </c>
      <c r="O54" t="str">
        <f t="shared" si="1"/>
        <v>Average</v>
      </c>
      <c r="P54" t="str">
        <f t="shared" si="2"/>
        <v>High</v>
      </c>
      <c r="Q54" t="str">
        <f t="shared" si="3"/>
        <v>Good</v>
      </c>
      <c r="R54" t="str">
        <f t="shared" si="4"/>
        <v>Medium</v>
      </c>
    </row>
    <row r="55" spans="1:18" x14ac:dyDescent="0.45">
      <c r="A55">
        <v>54</v>
      </c>
      <c r="B55">
        <v>19</v>
      </c>
      <c r="C55" t="s">
        <v>13</v>
      </c>
      <c r="D55" t="s">
        <v>28</v>
      </c>
      <c r="E55" t="s">
        <v>83</v>
      </c>
      <c r="F55">
        <v>5.7</v>
      </c>
      <c r="G55" t="s">
        <v>16</v>
      </c>
      <c r="H55" t="s">
        <v>17</v>
      </c>
      <c r="I55">
        <v>5.5</v>
      </c>
      <c r="J55">
        <v>5</v>
      </c>
      <c r="K55" t="s">
        <v>24</v>
      </c>
      <c r="L55">
        <v>4</v>
      </c>
      <c r="M55">
        <v>8</v>
      </c>
      <c r="N55" t="str">
        <f t="shared" si="0"/>
        <v>Medium</v>
      </c>
      <c r="O55" t="str">
        <f t="shared" si="1"/>
        <v>Average</v>
      </c>
      <c r="P55" t="str">
        <f t="shared" si="2"/>
        <v>Average</v>
      </c>
      <c r="Q55" t="str">
        <f t="shared" si="3"/>
        <v>Bad</v>
      </c>
      <c r="R55" t="str">
        <f t="shared" si="4"/>
        <v>High</v>
      </c>
    </row>
    <row r="56" spans="1:18" x14ac:dyDescent="0.45">
      <c r="A56">
        <v>55</v>
      </c>
      <c r="B56">
        <v>21</v>
      </c>
      <c r="C56" t="s">
        <v>19</v>
      </c>
      <c r="D56" t="s">
        <v>14</v>
      </c>
      <c r="E56" t="s">
        <v>84</v>
      </c>
      <c r="F56">
        <v>3.6</v>
      </c>
      <c r="G56" t="s">
        <v>32</v>
      </c>
      <c r="H56" t="s">
        <v>23</v>
      </c>
      <c r="I56">
        <v>6.5</v>
      </c>
      <c r="J56">
        <v>7</v>
      </c>
      <c r="K56" t="s">
        <v>18</v>
      </c>
      <c r="L56">
        <v>2</v>
      </c>
      <c r="M56">
        <v>5</v>
      </c>
      <c r="N56" t="str">
        <f t="shared" si="0"/>
        <v>Medium</v>
      </c>
      <c r="O56" t="str">
        <f t="shared" si="1"/>
        <v>High</v>
      </c>
      <c r="P56" t="str">
        <f t="shared" si="2"/>
        <v>Average</v>
      </c>
      <c r="Q56" t="str">
        <f t="shared" si="3"/>
        <v>Bad</v>
      </c>
      <c r="R56" t="str">
        <f t="shared" si="4"/>
        <v>Medium</v>
      </c>
    </row>
    <row r="57" spans="1:18" x14ac:dyDescent="0.45">
      <c r="A57">
        <v>56</v>
      </c>
      <c r="B57">
        <v>20</v>
      </c>
      <c r="C57" t="s">
        <v>13</v>
      </c>
      <c r="D57" t="s">
        <v>14</v>
      </c>
      <c r="E57" t="s">
        <v>85</v>
      </c>
      <c r="F57">
        <v>4.9000000000000004</v>
      </c>
      <c r="G57" t="s">
        <v>37</v>
      </c>
      <c r="H57" t="s">
        <v>17</v>
      </c>
      <c r="I57">
        <v>5.6</v>
      </c>
      <c r="J57">
        <v>6</v>
      </c>
      <c r="K57" t="s">
        <v>27</v>
      </c>
      <c r="L57">
        <v>3</v>
      </c>
      <c r="M57">
        <v>7</v>
      </c>
      <c r="N57" t="str">
        <f t="shared" si="0"/>
        <v>Medium</v>
      </c>
      <c r="O57" t="str">
        <f t="shared" si="1"/>
        <v>Average</v>
      </c>
      <c r="P57" t="str">
        <f t="shared" si="2"/>
        <v>Average</v>
      </c>
      <c r="Q57" t="str">
        <f t="shared" si="3"/>
        <v>Bad</v>
      </c>
      <c r="R57" t="str">
        <f t="shared" si="4"/>
        <v>High</v>
      </c>
    </row>
    <row r="58" spans="1:18" x14ac:dyDescent="0.45">
      <c r="A58">
        <v>57</v>
      </c>
      <c r="B58">
        <v>18</v>
      </c>
      <c r="C58" t="s">
        <v>19</v>
      </c>
      <c r="D58" t="s">
        <v>28</v>
      </c>
      <c r="E58" t="s">
        <v>86</v>
      </c>
      <c r="F58">
        <v>5.6</v>
      </c>
      <c r="G58" t="s">
        <v>26</v>
      </c>
      <c r="H58" t="s">
        <v>17</v>
      </c>
      <c r="I58">
        <v>5.2</v>
      </c>
      <c r="J58">
        <v>5</v>
      </c>
      <c r="K58" t="s">
        <v>24</v>
      </c>
      <c r="L58">
        <v>4</v>
      </c>
      <c r="M58">
        <v>8</v>
      </c>
      <c r="N58" t="str">
        <f t="shared" si="0"/>
        <v>Medium</v>
      </c>
      <c r="O58" t="str">
        <f t="shared" si="1"/>
        <v>Average</v>
      </c>
      <c r="P58" t="str">
        <f t="shared" si="2"/>
        <v>Average</v>
      </c>
      <c r="Q58" t="str">
        <f t="shared" si="3"/>
        <v>Bad</v>
      </c>
      <c r="R58" t="str">
        <f t="shared" si="4"/>
        <v>High</v>
      </c>
    </row>
    <row r="59" spans="1:18" x14ac:dyDescent="0.45">
      <c r="A59">
        <v>58</v>
      </c>
      <c r="B59">
        <v>23</v>
      </c>
      <c r="C59" t="s">
        <v>13</v>
      </c>
      <c r="D59" t="s">
        <v>20</v>
      </c>
      <c r="E59" t="s">
        <v>87</v>
      </c>
      <c r="F59">
        <v>2.8</v>
      </c>
      <c r="G59" t="s">
        <v>35</v>
      </c>
      <c r="H59" t="s">
        <v>23</v>
      </c>
      <c r="I59">
        <v>7</v>
      </c>
      <c r="J59">
        <v>8</v>
      </c>
      <c r="K59" t="s">
        <v>18</v>
      </c>
      <c r="L59">
        <v>1</v>
      </c>
      <c r="M59">
        <v>4</v>
      </c>
      <c r="N59" t="str">
        <f t="shared" si="0"/>
        <v>Low</v>
      </c>
      <c r="O59" t="str">
        <f t="shared" si="1"/>
        <v>Average</v>
      </c>
      <c r="P59" t="str">
        <f t="shared" si="2"/>
        <v>Average</v>
      </c>
      <c r="Q59" t="str">
        <f t="shared" si="3"/>
        <v>Good</v>
      </c>
      <c r="R59" t="str">
        <f t="shared" si="4"/>
        <v>Medium</v>
      </c>
    </row>
    <row r="60" spans="1:18" x14ac:dyDescent="0.45">
      <c r="A60">
        <v>59</v>
      </c>
      <c r="B60">
        <v>19</v>
      </c>
      <c r="C60" t="s">
        <v>19</v>
      </c>
      <c r="D60" t="s">
        <v>14</v>
      </c>
      <c r="E60" t="s">
        <v>88</v>
      </c>
      <c r="F60">
        <v>4.5999999999999996</v>
      </c>
      <c r="G60" t="s">
        <v>16</v>
      </c>
      <c r="H60" t="s">
        <v>17</v>
      </c>
      <c r="I60">
        <v>5.9</v>
      </c>
      <c r="J60">
        <v>6</v>
      </c>
      <c r="K60" t="s">
        <v>27</v>
      </c>
      <c r="L60">
        <v>3</v>
      </c>
      <c r="M60">
        <v>7</v>
      </c>
      <c r="N60" t="str">
        <f t="shared" si="0"/>
        <v>Medium</v>
      </c>
      <c r="O60" t="str">
        <f t="shared" si="1"/>
        <v>Average</v>
      </c>
      <c r="P60" t="str">
        <f t="shared" si="2"/>
        <v>Average</v>
      </c>
      <c r="Q60" t="str">
        <f t="shared" si="3"/>
        <v>Bad</v>
      </c>
      <c r="R60" t="str">
        <f t="shared" si="4"/>
        <v>High</v>
      </c>
    </row>
    <row r="61" spans="1:18" x14ac:dyDescent="0.45">
      <c r="A61">
        <v>60</v>
      </c>
      <c r="B61">
        <v>20</v>
      </c>
      <c r="C61" t="s">
        <v>13</v>
      </c>
      <c r="D61" t="s">
        <v>14</v>
      </c>
      <c r="E61" t="s">
        <v>89</v>
      </c>
      <c r="F61">
        <v>5.4</v>
      </c>
      <c r="G61" t="s">
        <v>26</v>
      </c>
      <c r="H61" t="s">
        <v>17</v>
      </c>
      <c r="I61">
        <v>5.7</v>
      </c>
      <c r="J61">
        <v>5</v>
      </c>
      <c r="K61" t="s">
        <v>24</v>
      </c>
      <c r="L61">
        <v>4</v>
      </c>
      <c r="M61">
        <v>8</v>
      </c>
      <c r="N61" t="str">
        <f t="shared" si="0"/>
        <v>Medium</v>
      </c>
      <c r="O61" t="str">
        <f t="shared" si="1"/>
        <v>Average</v>
      </c>
      <c r="P61" t="str">
        <f t="shared" si="2"/>
        <v>Average</v>
      </c>
      <c r="Q61" t="str">
        <f t="shared" si="3"/>
        <v>Bad</v>
      </c>
      <c r="R61" t="str">
        <f t="shared" si="4"/>
        <v>High</v>
      </c>
    </row>
    <row r="62" spans="1:18" x14ac:dyDescent="0.45">
      <c r="A62">
        <v>61</v>
      </c>
      <c r="B62">
        <v>22</v>
      </c>
      <c r="C62" t="s">
        <v>19</v>
      </c>
      <c r="D62" t="s">
        <v>20</v>
      </c>
      <c r="E62" t="s">
        <v>90</v>
      </c>
      <c r="F62">
        <v>3.1</v>
      </c>
      <c r="G62" t="s">
        <v>32</v>
      </c>
      <c r="H62" t="s">
        <v>23</v>
      </c>
      <c r="I62">
        <v>7.1</v>
      </c>
      <c r="J62">
        <v>7</v>
      </c>
      <c r="K62" t="s">
        <v>24</v>
      </c>
      <c r="L62">
        <v>1</v>
      </c>
      <c r="M62">
        <v>5</v>
      </c>
      <c r="N62" t="str">
        <f t="shared" si="0"/>
        <v>Low</v>
      </c>
      <c r="O62" t="str">
        <f t="shared" si="1"/>
        <v>High</v>
      </c>
      <c r="P62" t="str">
        <f t="shared" si="2"/>
        <v>High</v>
      </c>
      <c r="Q62" t="str">
        <f t="shared" si="3"/>
        <v>Bad</v>
      </c>
      <c r="R62" t="str">
        <f t="shared" si="4"/>
        <v>Medium</v>
      </c>
    </row>
    <row r="63" spans="1:18" x14ac:dyDescent="0.45">
      <c r="A63">
        <v>62</v>
      </c>
      <c r="B63">
        <v>19</v>
      </c>
      <c r="C63" t="s">
        <v>13</v>
      </c>
      <c r="D63" t="s">
        <v>14</v>
      </c>
      <c r="E63" t="s">
        <v>91</v>
      </c>
      <c r="F63">
        <v>5.6</v>
      </c>
      <c r="G63" t="s">
        <v>16</v>
      </c>
      <c r="H63" t="s">
        <v>17</v>
      </c>
      <c r="I63">
        <v>5.6</v>
      </c>
      <c r="J63">
        <v>5</v>
      </c>
      <c r="K63" t="s">
        <v>18</v>
      </c>
      <c r="L63">
        <v>3</v>
      </c>
      <c r="M63">
        <v>8</v>
      </c>
      <c r="N63" t="str">
        <f t="shared" si="0"/>
        <v>Medium</v>
      </c>
      <c r="O63" t="str">
        <f t="shared" si="1"/>
        <v>Average</v>
      </c>
      <c r="P63" t="str">
        <f t="shared" si="2"/>
        <v>Average</v>
      </c>
      <c r="Q63" t="str">
        <f t="shared" si="3"/>
        <v>Bad</v>
      </c>
      <c r="R63" t="str">
        <f t="shared" si="4"/>
        <v>High</v>
      </c>
    </row>
    <row r="64" spans="1:18" x14ac:dyDescent="0.45">
      <c r="A64">
        <v>63</v>
      </c>
      <c r="B64">
        <v>20</v>
      </c>
      <c r="C64" t="s">
        <v>19</v>
      </c>
      <c r="D64" t="s">
        <v>14</v>
      </c>
      <c r="E64" t="s">
        <v>92</v>
      </c>
      <c r="F64">
        <v>4.2</v>
      </c>
      <c r="G64" t="s">
        <v>26</v>
      </c>
      <c r="H64" t="s">
        <v>17</v>
      </c>
      <c r="I64">
        <v>6</v>
      </c>
      <c r="J64">
        <v>6</v>
      </c>
      <c r="K64" t="s">
        <v>27</v>
      </c>
      <c r="L64">
        <v>3</v>
      </c>
      <c r="M64">
        <v>7</v>
      </c>
      <c r="N64" t="str">
        <f t="shared" si="0"/>
        <v>Medium</v>
      </c>
      <c r="O64" t="str">
        <f t="shared" si="1"/>
        <v>Average</v>
      </c>
      <c r="P64" t="str">
        <f t="shared" si="2"/>
        <v>Average</v>
      </c>
      <c r="Q64" t="str">
        <f t="shared" si="3"/>
        <v>Bad</v>
      </c>
      <c r="R64" t="str">
        <f t="shared" si="4"/>
        <v>High</v>
      </c>
    </row>
    <row r="65" spans="1:18" x14ac:dyDescent="0.45">
      <c r="A65">
        <v>64</v>
      </c>
      <c r="B65">
        <v>18</v>
      </c>
      <c r="C65" t="s">
        <v>13</v>
      </c>
      <c r="D65" t="s">
        <v>28</v>
      </c>
      <c r="E65" t="s">
        <v>93</v>
      </c>
      <c r="F65">
        <v>6.1</v>
      </c>
      <c r="G65" t="s">
        <v>37</v>
      </c>
      <c r="H65" t="s">
        <v>17</v>
      </c>
      <c r="I65">
        <v>5.2</v>
      </c>
      <c r="J65">
        <v>4</v>
      </c>
      <c r="K65" t="s">
        <v>24</v>
      </c>
      <c r="L65">
        <v>4</v>
      </c>
      <c r="M65">
        <v>9</v>
      </c>
      <c r="N65" t="str">
        <f t="shared" si="0"/>
        <v>Medium</v>
      </c>
      <c r="O65" t="str">
        <f t="shared" si="1"/>
        <v>Average</v>
      </c>
      <c r="P65" t="str">
        <f t="shared" si="2"/>
        <v>Average</v>
      </c>
      <c r="Q65" t="str">
        <f t="shared" si="3"/>
        <v>Worst</v>
      </c>
      <c r="R65" t="str">
        <f t="shared" si="4"/>
        <v>High</v>
      </c>
    </row>
    <row r="66" spans="1:18" x14ac:dyDescent="0.45">
      <c r="A66">
        <v>65</v>
      </c>
      <c r="B66">
        <v>23</v>
      </c>
      <c r="C66" t="s">
        <v>19</v>
      </c>
      <c r="D66" t="s">
        <v>20</v>
      </c>
      <c r="E66" t="s">
        <v>94</v>
      </c>
      <c r="F66">
        <v>2.2999999999999998</v>
      </c>
      <c r="G66" t="s">
        <v>35</v>
      </c>
      <c r="H66" t="s">
        <v>23</v>
      </c>
      <c r="I66">
        <v>7.4</v>
      </c>
      <c r="J66">
        <v>8</v>
      </c>
      <c r="K66" t="s">
        <v>18</v>
      </c>
      <c r="L66">
        <v>1</v>
      </c>
      <c r="M66">
        <v>3</v>
      </c>
      <c r="N66" t="str">
        <f t="shared" si="0"/>
        <v>Low</v>
      </c>
      <c r="O66" t="str">
        <f t="shared" si="1"/>
        <v>Average</v>
      </c>
      <c r="P66" t="str">
        <f t="shared" si="2"/>
        <v>High</v>
      </c>
      <c r="Q66" t="str">
        <f t="shared" si="3"/>
        <v>Good</v>
      </c>
      <c r="R66" t="str">
        <f t="shared" si="4"/>
        <v>Less</v>
      </c>
    </row>
    <row r="67" spans="1:18" x14ac:dyDescent="0.45">
      <c r="A67">
        <v>66</v>
      </c>
      <c r="B67">
        <v>21</v>
      </c>
      <c r="C67" t="s">
        <v>13</v>
      </c>
      <c r="D67" t="s">
        <v>14</v>
      </c>
      <c r="E67" t="s">
        <v>95</v>
      </c>
      <c r="F67">
        <v>4.8</v>
      </c>
      <c r="G67" t="s">
        <v>16</v>
      </c>
      <c r="H67" t="s">
        <v>17</v>
      </c>
      <c r="I67">
        <v>5.8</v>
      </c>
      <c r="J67">
        <v>6</v>
      </c>
      <c r="K67" t="s">
        <v>24</v>
      </c>
      <c r="L67">
        <v>3</v>
      </c>
      <c r="M67">
        <v>7</v>
      </c>
      <c r="N67" t="str">
        <f t="shared" ref="N67:N130" si="5">IF(AND(F67&gt;=1.5,F67&lt;=3.5),"Low",IF(AND(F67&gt;3.5,F67&lt;=6.5),"Medium","High"))</f>
        <v>Medium</v>
      </c>
      <c r="O67" t="str">
        <f t="shared" ref="O67:O130" si="6">IF(AND(I81&gt;=3.8,I81&lt;=5),"Less",IF(AND(I81&gt;5,I81&lt;=7),"Average","High"))</f>
        <v>Average</v>
      </c>
      <c r="P67" t="str">
        <f t="shared" ref="P67:P130" si="7">IF(AND(I67&gt;=3.8,I67&lt;=5),"Less",IF(AND(I67&gt;5,I67&lt;=7),"Average","High"))</f>
        <v>Average</v>
      </c>
      <c r="Q67" t="str">
        <f t="shared" si="3"/>
        <v>Bad</v>
      </c>
      <c r="R67" t="str">
        <f t="shared" si="4"/>
        <v>High</v>
      </c>
    </row>
    <row r="68" spans="1:18" x14ac:dyDescent="0.45">
      <c r="A68">
        <v>67</v>
      </c>
      <c r="B68">
        <v>20</v>
      </c>
      <c r="C68" t="s">
        <v>19</v>
      </c>
      <c r="D68" t="s">
        <v>14</v>
      </c>
      <c r="E68" t="s">
        <v>96</v>
      </c>
      <c r="F68">
        <v>3.9</v>
      </c>
      <c r="G68" t="s">
        <v>30</v>
      </c>
      <c r="H68" t="s">
        <v>23</v>
      </c>
      <c r="I68">
        <v>6.5</v>
      </c>
      <c r="J68">
        <v>7</v>
      </c>
      <c r="K68" t="s">
        <v>27</v>
      </c>
      <c r="L68">
        <v>2</v>
      </c>
      <c r="M68">
        <v>6</v>
      </c>
      <c r="N68" t="str">
        <f t="shared" si="5"/>
        <v>Medium</v>
      </c>
      <c r="O68" t="str">
        <f t="shared" si="6"/>
        <v>High</v>
      </c>
      <c r="P68" t="str">
        <f t="shared" si="7"/>
        <v>Average</v>
      </c>
      <c r="Q68" t="str">
        <f t="shared" si="3"/>
        <v>Bad</v>
      </c>
      <c r="R68" t="str">
        <f t="shared" si="4"/>
        <v>Medium</v>
      </c>
    </row>
    <row r="69" spans="1:18" x14ac:dyDescent="0.45">
      <c r="A69">
        <v>68</v>
      </c>
      <c r="B69">
        <v>19</v>
      </c>
      <c r="C69" t="s">
        <v>13</v>
      </c>
      <c r="D69" t="s">
        <v>28</v>
      </c>
      <c r="E69" t="s">
        <v>97</v>
      </c>
      <c r="F69">
        <v>5.7</v>
      </c>
      <c r="G69" t="s">
        <v>26</v>
      </c>
      <c r="H69" t="s">
        <v>17</v>
      </c>
      <c r="I69">
        <v>5.4</v>
      </c>
      <c r="J69">
        <v>5</v>
      </c>
      <c r="K69" t="s">
        <v>18</v>
      </c>
      <c r="L69">
        <v>4</v>
      </c>
      <c r="M69">
        <v>8</v>
      </c>
      <c r="N69" t="str">
        <f t="shared" si="5"/>
        <v>Medium</v>
      </c>
      <c r="O69" t="str">
        <f t="shared" si="6"/>
        <v>Average</v>
      </c>
      <c r="P69" t="str">
        <f t="shared" si="7"/>
        <v>Average</v>
      </c>
      <c r="Q69" t="str">
        <f t="shared" si="3"/>
        <v>Bad</v>
      </c>
      <c r="R69" t="str">
        <f t="shared" si="4"/>
        <v>High</v>
      </c>
    </row>
    <row r="70" spans="1:18" x14ac:dyDescent="0.45">
      <c r="A70">
        <v>69</v>
      </c>
      <c r="B70">
        <v>22</v>
      </c>
      <c r="C70" t="s">
        <v>19</v>
      </c>
      <c r="D70" t="s">
        <v>20</v>
      </c>
      <c r="E70" t="s">
        <v>98</v>
      </c>
      <c r="F70">
        <v>2.8</v>
      </c>
      <c r="G70" t="s">
        <v>35</v>
      </c>
      <c r="H70" t="s">
        <v>23</v>
      </c>
      <c r="I70">
        <v>7.2</v>
      </c>
      <c r="J70">
        <v>8</v>
      </c>
      <c r="K70" t="s">
        <v>24</v>
      </c>
      <c r="L70">
        <v>1</v>
      </c>
      <c r="M70">
        <v>4</v>
      </c>
      <c r="N70" t="str">
        <f t="shared" si="5"/>
        <v>Low</v>
      </c>
      <c r="O70" t="str">
        <f t="shared" si="6"/>
        <v>Average</v>
      </c>
      <c r="P70" t="str">
        <f t="shared" si="7"/>
        <v>High</v>
      </c>
      <c r="Q70" t="str">
        <f t="shared" ref="Q70:Q133" si="8">IF(AND(J70&gt;=0,J70&lt;=4),"Worst",IF(AND(J70&gt;4,J70&lt;=7),"Bad","Good"))</f>
        <v>Good</v>
      </c>
      <c r="R70" t="str">
        <f t="shared" ref="R70:R133" si="9">IF(AND(M70&gt;0,M70&lt;=3),"Less",IF(AND(M70&gt;3,M70&lt;=6),"Medium","High"))</f>
        <v>Medium</v>
      </c>
    </row>
    <row r="71" spans="1:18" x14ac:dyDescent="0.45">
      <c r="A71">
        <v>70</v>
      </c>
      <c r="B71">
        <v>20</v>
      </c>
      <c r="C71" t="s">
        <v>13</v>
      </c>
      <c r="D71" t="s">
        <v>14</v>
      </c>
      <c r="E71" t="s">
        <v>99</v>
      </c>
      <c r="F71">
        <v>4.5</v>
      </c>
      <c r="G71" t="s">
        <v>16</v>
      </c>
      <c r="H71" t="s">
        <v>17</v>
      </c>
      <c r="I71">
        <v>5.9</v>
      </c>
      <c r="J71">
        <v>6</v>
      </c>
      <c r="K71" t="s">
        <v>27</v>
      </c>
      <c r="L71">
        <v>3</v>
      </c>
      <c r="M71">
        <v>7</v>
      </c>
      <c r="N71" t="str">
        <f t="shared" si="5"/>
        <v>Medium</v>
      </c>
      <c r="O71" t="str">
        <f t="shared" si="6"/>
        <v>High</v>
      </c>
      <c r="P71" t="str">
        <f t="shared" si="7"/>
        <v>Average</v>
      </c>
      <c r="Q71" t="str">
        <f t="shared" si="8"/>
        <v>Bad</v>
      </c>
      <c r="R71" t="str">
        <f t="shared" si="9"/>
        <v>High</v>
      </c>
    </row>
    <row r="72" spans="1:18" x14ac:dyDescent="0.45">
      <c r="A72">
        <v>71</v>
      </c>
      <c r="B72">
        <v>18</v>
      </c>
      <c r="C72" t="s">
        <v>19</v>
      </c>
      <c r="D72" t="s">
        <v>28</v>
      </c>
      <c r="E72" t="s">
        <v>100</v>
      </c>
      <c r="F72">
        <v>5.4</v>
      </c>
      <c r="G72" t="s">
        <v>37</v>
      </c>
      <c r="H72" t="s">
        <v>17</v>
      </c>
      <c r="I72">
        <v>5.5</v>
      </c>
      <c r="J72">
        <v>5</v>
      </c>
      <c r="K72" t="s">
        <v>24</v>
      </c>
      <c r="L72">
        <v>4</v>
      </c>
      <c r="M72">
        <v>8</v>
      </c>
      <c r="N72" t="str">
        <f t="shared" si="5"/>
        <v>Medium</v>
      </c>
      <c r="O72" t="str">
        <f t="shared" si="6"/>
        <v>Average</v>
      </c>
      <c r="P72" t="str">
        <f t="shared" si="7"/>
        <v>Average</v>
      </c>
      <c r="Q72" t="str">
        <f t="shared" si="8"/>
        <v>Bad</v>
      </c>
      <c r="R72" t="str">
        <f t="shared" si="9"/>
        <v>High</v>
      </c>
    </row>
    <row r="73" spans="1:18" x14ac:dyDescent="0.45">
      <c r="A73">
        <v>72</v>
      </c>
      <c r="B73">
        <v>21</v>
      </c>
      <c r="C73" t="s">
        <v>13</v>
      </c>
      <c r="D73" t="s">
        <v>20</v>
      </c>
      <c r="E73" t="s">
        <v>101</v>
      </c>
      <c r="F73">
        <v>3.2</v>
      </c>
      <c r="G73" t="s">
        <v>32</v>
      </c>
      <c r="H73" t="s">
        <v>23</v>
      </c>
      <c r="I73">
        <v>6.8</v>
      </c>
      <c r="J73">
        <v>7</v>
      </c>
      <c r="K73" t="s">
        <v>18</v>
      </c>
      <c r="L73">
        <v>2</v>
      </c>
      <c r="M73">
        <v>5</v>
      </c>
      <c r="N73" t="str">
        <f t="shared" si="5"/>
        <v>Low</v>
      </c>
      <c r="O73" t="str">
        <f t="shared" si="6"/>
        <v>Average</v>
      </c>
      <c r="P73" t="str">
        <f t="shared" si="7"/>
        <v>Average</v>
      </c>
      <c r="Q73" t="str">
        <f t="shared" si="8"/>
        <v>Bad</v>
      </c>
      <c r="R73" t="str">
        <f t="shared" si="9"/>
        <v>Medium</v>
      </c>
    </row>
    <row r="74" spans="1:18" x14ac:dyDescent="0.45">
      <c r="A74">
        <v>73</v>
      </c>
      <c r="B74">
        <v>19</v>
      </c>
      <c r="C74" t="s">
        <v>19</v>
      </c>
      <c r="D74" t="s">
        <v>14</v>
      </c>
      <c r="E74" t="s">
        <v>102</v>
      </c>
      <c r="F74">
        <v>4.9000000000000004</v>
      </c>
      <c r="G74" t="s">
        <v>26</v>
      </c>
      <c r="H74" t="s">
        <v>17</v>
      </c>
      <c r="I74">
        <v>5.7</v>
      </c>
      <c r="J74">
        <v>6</v>
      </c>
      <c r="K74" t="s">
        <v>27</v>
      </c>
      <c r="L74">
        <v>3</v>
      </c>
      <c r="M74">
        <v>7</v>
      </c>
      <c r="N74" t="str">
        <f t="shared" si="5"/>
        <v>Medium</v>
      </c>
      <c r="O74" t="str">
        <f t="shared" si="6"/>
        <v>Average</v>
      </c>
      <c r="P74" t="str">
        <f t="shared" si="7"/>
        <v>Average</v>
      </c>
      <c r="Q74" t="str">
        <f t="shared" si="8"/>
        <v>Bad</v>
      </c>
      <c r="R74" t="str">
        <f t="shared" si="9"/>
        <v>High</v>
      </c>
    </row>
    <row r="75" spans="1:18" x14ac:dyDescent="0.45">
      <c r="A75">
        <v>74</v>
      </c>
      <c r="B75">
        <v>20</v>
      </c>
      <c r="C75" t="s">
        <v>13</v>
      </c>
      <c r="D75" t="s">
        <v>14</v>
      </c>
      <c r="E75" t="s">
        <v>103</v>
      </c>
      <c r="F75">
        <v>5.8</v>
      </c>
      <c r="G75" t="s">
        <v>16</v>
      </c>
      <c r="H75" t="s">
        <v>17</v>
      </c>
      <c r="I75">
        <v>5.3</v>
      </c>
      <c r="J75">
        <v>5</v>
      </c>
      <c r="K75" t="s">
        <v>24</v>
      </c>
      <c r="L75">
        <v>4</v>
      </c>
      <c r="M75">
        <v>8</v>
      </c>
      <c r="N75" t="str">
        <f t="shared" si="5"/>
        <v>Medium</v>
      </c>
      <c r="O75" t="str">
        <f t="shared" si="6"/>
        <v>High</v>
      </c>
      <c r="P75" t="str">
        <f t="shared" si="7"/>
        <v>Average</v>
      </c>
      <c r="Q75" t="str">
        <f t="shared" si="8"/>
        <v>Bad</v>
      </c>
      <c r="R75" t="str">
        <f t="shared" si="9"/>
        <v>High</v>
      </c>
    </row>
    <row r="76" spans="1:18" x14ac:dyDescent="0.45">
      <c r="A76">
        <v>75</v>
      </c>
      <c r="B76">
        <v>23</v>
      </c>
      <c r="C76" t="s">
        <v>19</v>
      </c>
      <c r="D76" t="s">
        <v>20</v>
      </c>
      <c r="E76" t="s">
        <v>104</v>
      </c>
      <c r="F76">
        <v>2.5</v>
      </c>
      <c r="G76" t="s">
        <v>35</v>
      </c>
      <c r="H76" t="s">
        <v>23</v>
      </c>
      <c r="I76">
        <v>7.3</v>
      </c>
      <c r="J76">
        <v>8</v>
      </c>
      <c r="K76" t="s">
        <v>18</v>
      </c>
      <c r="L76">
        <v>1</v>
      </c>
      <c r="M76">
        <v>4</v>
      </c>
      <c r="N76" t="str">
        <f t="shared" si="5"/>
        <v>Low</v>
      </c>
      <c r="O76" t="str">
        <f t="shared" si="6"/>
        <v>Average</v>
      </c>
      <c r="P76" t="str">
        <f t="shared" si="7"/>
        <v>High</v>
      </c>
      <c r="Q76" t="str">
        <f t="shared" si="8"/>
        <v>Good</v>
      </c>
      <c r="R76" t="str">
        <f t="shared" si="9"/>
        <v>Medium</v>
      </c>
    </row>
    <row r="77" spans="1:18" x14ac:dyDescent="0.45">
      <c r="A77">
        <v>76</v>
      </c>
      <c r="B77">
        <v>21</v>
      </c>
      <c r="C77" t="s">
        <v>13</v>
      </c>
      <c r="D77" t="s">
        <v>14</v>
      </c>
      <c r="E77" t="s">
        <v>105</v>
      </c>
      <c r="F77">
        <v>4.5999999999999996</v>
      </c>
      <c r="G77" t="s">
        <v>37</v>
      </c>
      <c r="H77" t="s">
        <v>17</v>
      </c>
      <c r="I77">
        <v>5.8</v>
      </c>
      <c r="J77">
        <v>6</v>
      </c>
      <c r="K77" t="s">
        <v>24</v>
      </c>
      <c r="L77">
        <v>3</v>
      </c>
      <c r="M77">
        <v>7</v>
      </c>
      <c r="N77" t="str">
        <f t="shared" si="5"/>
        <v>Medium</v>
      </c>
      <c r="O77" t="str">
        <f t="shared" si="6"/>
        <v>Average</v>
      </c>
      <c r="P77" t="str">
        <f t="shared" si="7"/>
        <v>Average</v>
      </c>
      <c r="Q77" t="str">
        <f t="shared" si="8"/>
        <v>Bad</v>
      </c>
      <c r="R77" t="str">
        <f t="shared" si="9"/>
        <v>High</v>
      </c>
    </row>
    <row r="78" spans="1:18" x14ac:dyDescent="0.45">
      <c r="A78">
        <v>77</v>
      </c>
      <c r="B78">
        <v>19</v>
      </c>
      <c r="C78" t="s">
        <v>19</v>
      </c>
      <c r="D78" t="s">
        <v>28</v>
      </c>
      <c r="E78" t="s">
        <v>106</v>
      </c>
      <c r="F78">
        <v>5.5</v>
      </c>
      <c r="G78" t="s">
        <v>26</v>
      </c>
      <c r="H78" t="s">
        <v>17</v>
      </c>
      <c r="I78">
        <v>5.4</v>
      </c>
      <c r="J78">
        <v>5</v>
      </c>
      <c r="K78" t="s">
        <v>27</v>
      </c>
      <c r="L78">
        <v>4</v>
      </c>
      <c r="M78">
        <v>8</v>
      </c>
      <c r="N78" t="str">
        <f t="shared" si="5"/>
        <v>Medium</v>
      </c>
      <c r="O78" t="str">
        <f t="shared" si="6"/>
        <v>Average</v>
      </c>
      <c r="P78" t="str">
        <f t="shared" si="7"/>
        <v>Average</v>
      </c>
      <c r="Q78" t="str">
        <f t="shared" si="8"/>
        <v>Bad</v>
      </c>
      <c r="R78" t="str">
        <f t="shared" si="9"/>
        <v>High</v>
      </c>
    </row>
    <row r="79" spans="1:18" x14ac:dyDescent="0.45">
      <c r="A79">
        <v>78</v>
      </c>
      <c r="B79">
        <v>22</v>
      </c>
      <c r="C79" t="s">
        <v>13</v>
      </c>
      <c r="D79" t="s">
        <v>20</v>
      </c>
      <c r="E79" t="s">
        <v>107</v>
      </c>
      <c r="F79">
        <v>2.9</v>
      </c>
      <c r="G79" t="s">
        <v>32</v>
      </c>
      <c r="H79" t="s">
        <v>23</v>
      </c>
      <c r="I79">
        <v>7</v>
      </c>
      <c r="J79">
        <v>7</v>
      </c>
      <c r="K79" t="s">
        <v>18</v>
      </c>
      <c r="L79">
        <v>2</v>
      </c>
      <c r="M79">
        <v>5</v>
      </c>
      <c r="N79" t="str">
        <f t="shared" si="5"/>
        <v>Low</v>
      </c>
      <c r="O79" t="str">
        <f t="shared" si="6"/>
        <v>Average</v>
      </c>
      <c r="P79" t="str">
        <f t="shared" si="7"/>
        <v>Average</v>
      </c>
      <c r="Q79" t="str">
        <f t="shared" si="8"/>
        <v>Bad</v>
      </c>
      <c r="R79" t="str">
        <f t="shared" si="9"/>
        <v>Medium</v>
      </c>
    </row>
    <row r="80" spans="1:18" x14ac:dyDescent="0.45">
      <c r="A80">
        <v>79</v>
      </c>
      <c r="B80">
        <v>20</v>
      </c>
      <c r="C80" t="s">
        <v>19</v>
      </c>
      <c r="D80" t="s">
        <v>14</v>
      </c>
      <c r="E80" t="s">
        <v>108</v>
      </c>
      <c r="F80">
        <v>4.7</v>
      </c>
      <c r="G80" t="s">
        <v>30</v>
      </c>
      <c r="H80" t="s">
        <v>17</v>
      </c>
      <c r="I80">
        <v>5.9</v>
      </c>
      <c r="J80">
        <v>6</v>
      </c>
      <c r="K80" t="s">
        <v>24</v>
      </c>
      <c r="L80">
        <v>3</v>
      </c>
      <c r="M80">
        <v>7</v>
      </c>
      <c r="N80" t="str">
        <f t="shared" si="5"/>
        <v>Medium</v>
      </c>
      <c r="O80" t="str">
        <f t="shared" si="6"/>
        <v>Average</v>
      </c>
      <c r="P80" t="str">
        <f t="shared" si="7"/>
        <v>Average</v>
      </c>
      <c r="Q80" t="str">
        <f t="shared" si="8"/>
        <v>Bad</v>
      </c>
      <c r="R80" t="str">
        <f t="shared" si="9"/>
        <v>High</v>
      </c>
    </row>
    <row r="81" spans="1:18" x14ac:dyDescent="0.45">
      <c r="A81">
        <v>80</v>
      </c>
      <c r="B81">
        <v>18</v>
      </c>
      <c r="C81" t="s">
        <v>13</v>
      </c>
      <c r="D81" t="s">
        <v>28</v>
      </c>
      <c r="E81" t="s">
        <v>109</v>
      </c>
      <c r="F81">
        <v>5.9</v>
      </c>
      <c r="G81" t="s">
        <v>16</v>
      </c>
      <c r="H81" t="s">
        <v>17</v>
      </c>
      <c r="I81">
        <v>5.2</v>
      </c>
      <c r="J81">
        <v>5</v>
      </c>
      <c r="K81" t="s">
        <v>27</v>
      </c>
      <c r="L81">
        <v>4</v>
      </c>
      <c r="M81">
        <v>9</v>
      </c>
      <c r="N81" t="str">
        <f t="shared" si="5"/>
        <v>Medium</v>
      </c>
      <c r="O81" t="str">
        <f t="shared" si="6"/>
        <v>Average</v>
      </c>
      <c r="P81" t="str">
        <f t="shared" si="7"/>
        <v>Average</v>
      </c>
      <c r="Q81" t="str">
        <f t="shared" si="8"/>
        <v>Bad</v>
      </c>
      <c r="R81" t="str">
        <f t="shared" si="9"/>
        <v>High</v>
      </c>
    </row>
    <row r="82" spans="1:18" x14ac:dyDescent="0.45">
      <c r="A82">
        <v>81</v>
      </c>
      <c r="B82">
        <v>21</v>
      </c>
      <c r="C82" t="s">
        <v>19</v>
      </c>
      <c r="D82" t="s">
        <v>20</v>
      </c>
      <c r="E82" t="s">
        <v>110</v>
      </c>
      <c r="F82">
        <v>3</v>
      </c>
      <c r="G82" t="s">
        <v>35</v>
      </c>
      <c r="H82" t="s">
        <v>23</v>
      </c>
      <c r="I82">
        <v>7.1</v>
      </c>
      <c r="J82">
        <v>8</v>
      </c>
      <c r="K82" t="s">
        <v>18</v>
      </c>
      <c r="L82">
        <v>1</v>
      </c>
      <c r="M82">
        <v>4</v>
      </c>
      <c r="N82" t="str">
        <f t="shared" si="5"/>
        <v>Low</v>
      </c>
      <c r="O82" t="str">
        <f t="shared" si="6"/>
        <v>High</v>
      </c>
      <c r="P82" t="str">
        <f t="shared" si="7"/>
        <v>High</v>
      </c>
      <c r="Q82" t="str">
        <f t="shared" si="8"/>
        <v>Good</v>
      </c>
      <c r="R82" t="str">
        <f t="shared" si="9"/>
        <v>Medium</v>
      </c>
    </row>
    <row r="83" spans="1:18" x14ac:dyDescent="0.45">
      <c r="A83">
        <v>82</v>
      </c>
      <c r="B83">
        <v>19</v>
      </c>
      <c r="C83" t="s">
        <v>13</v>
      </c>
      <c r="D83" t="s">
        <v>14</v>
      </c>
      <c r="E83" t="s">
        <v>111</v>
      </c>
      <c r="F83">
        <v>4.8</v>
      </c>
      <c r="G83" t="s">
        <v>26</v>
      </c>
      <c r="H83" t="s">
        <v>17</v>
      </c>
      <c r="I83">
        <v>5.7</v>
      </c>
      <c r="J83">
        <v>6</v>
      </c>
      <c r="K83" t="s">
        <v>24</v>
      </c>
      <c r="L83">
        <v>3</v>
      </c>
      <c r="M83">
        <v>7</v>
      </c>
      <c r="N83" t="str">
        <f t="shared" si="5"/>
        <v>Medium</v>
      </c>
      <c r="O83" t="str">
        <f t="shared" si="6"/>
        <v>Average</v>
      </c>
      <c r="P83" t="str">
        <f t="shared" si="7"/>
        <v>Average</v>
      </c>
      <c r="Q83" t="str">
        <f t="shared" si="8"/>
        <v>Bad</v>
      </c>
      <c r="R83" t="str">
        <f t="shared" si="9"/>
        <v>High</v>
      </c>
    </row>
    <row r="84" spans="1:18" x14ac:dyDescent="0.45">
      <c r="A84">
        <v>83</v>
      </c>
      <c r="B84">
        <v>20</v>
      </c>
      <c r="C84" t="s">
        <v>19</v>
      </c>
      <c r="D84" t="s">
        <v>14</v>
      </c>
      <c r="E84" t="s">
        <v>112</v>
      </c>
      <c r="F84">
        <v>3.8</v>
      </c>
      <c r="G84" t="s">
        <v>32</v>
      </c>
      <c r="H84" t="s">
        <v>23</v>
      </c>
      <c r="I84">
        <v>6.6</v>
      </c>
      <c r="J84">
        <v>7</v>
      </c>
      <c r="K84" t="s">
        <v>27</v>
      </c>
      <c r="L84">
        <v>2</v>
      </c>
      <c r="M84">
        <v>6</v>
      </c>
      <c r="N84" t="str">
        <f t="shared" si="5"/>
        <v>Medium</v>
      </c>
      <c r="O84" t="str">
        <f t="shared" si="6"/>
        <v>Average</v>
      </c>
      <c r="P84" t="str">
        <f t="shared" si="7"/>
        <v>Average</v>
      </c>
      <c r="Q84" t="str">
        <f t="shared" si="8"/>
        <v>Bad</v>
      </c>
      <c r="R84" t="str">
        <f t="shared" si="9"/>
        <v>Medium</v>
      </c>
    </row>
    <row r="85" spans="1:18" x14ac:dyDescent="0.45">
      <c r="A85">
        <v>84</v>
      </c>
      <c r="B85">
        <v>22</v>
      </c>
      <c r="C85" t="s">
        <v>13</v>
      </c>
      <c r="D85" t="s">
        <v>20</v>
      </c>
      <c r="E85" t="s">
        <v>113</v>
      </c>
      <c r="F85">
        <v>2.7</v>
      </c>
      <c r="G85" t="s">
        <v>35</v>
      </c>
      <c r="H85" t="s">
        <v>23</v>
      </c>
      <c r="I85">
        <v>7.2</v>
      </c>
      <c r="J85">
        <v>8</v>
      </c>
      <c r="K85" t="s">
        <v>18</v>
      </c>
      <c r="L85">
        <v>1</v>
      </c>
      <c r="M85">
        <v>4</v>
      </c>
      <c r="N85" t="str">
        <f t="shared" si="5"/>
        <v>Low</v>
      </c>
      <c r="O85" t="str">
        <f t="shared" si="6"/>
        <v>High</v>
      </c>
      <c r="P85" t="str">
        <f t="shared" si="7"/>
        <v>High</v>
      </c>
      <c r="Q85" t="str">
        <f t="shared" si="8"/>
        <v>Good</v>
      </c>
      <c r="R85" t="str">
        <f t="shared" si="9"/>
        <v>Medium</v>
      </c>
    </row>
    <row r="86" spans="1:18" x14ac:dyDescent="0.45">
      <c r="A86">
        <v>85</v>
      </c>
      <c r="B86">
        <v>18</v>
      </c>
      <c r="C86" t="s">
        <v>19</v>
      </c>
      <c r="D86" t="s">
        <v>28</v>
      </c>
      <c r="E86" t="s">
        <v>114</v>
      </c>
      <c r="F86">
        <v>5.6</v>
      </c>
      <c r="G86" t="s">
        <v>37</v>
      </c>
      <c r="H86" t="s">
        <v>17</v>
      </c>
      <c r="I86">
        <v>5.3</v>
      </c>
      <c r="J86">
        <v>5</v>
      </c>
      <c r="K86" t="s">
        <v>24</v>
      </c>
      <c r="L86">
        <v>4</v>
      </c>
      <c r="M86">
        <v>8</v>
      </c>
      <c r="N86" t="str">
        <f t="shared" si="5"/>
        <v>Medium</v>
      </c>
      <c r="O86" t="str">
        <f t="shared" si="6"/>
        <v>Average</v>
      </c>
      <c r="P86" t="str">
        <f t="shared" si="7"/>
        <v>Average</v>
      </c>
      <c r="Q86" t="str">
        <f t="shared" si="8"/>
        <v>Bad</v>
      </c>
      <c r="R86" t="str">
        <f t="shared" si="9"/>
        <v>High</v>
      </c>
    </row>
    <row r="87" spans="1:18" x14ac:dyDescent="0.45">
      <c r="A87">
        <v>86</v>
      </c>
      <c r="B87">
        <v>21</v>
      </c>
      <c r="C87" t="s">
        <v>13</v>
      </c>
      <c r="D87" t="s">
        <v>14</v>
      </c>
      <c r="E87" t="s">
        <v>115</v>
      </c>
      <c r="F87">
        <v>4.5</v>
      </c>
      <c r="G87" t="s">
        <v>16</v>
      </c>
      <c r="H87" t="s">
        <v>17</v>
      </c>
      <c r="I87">
        <v>5.8</v>
      </c>
      <c r="J87">
        <v>6</v>
      </c>
      <c r="K87" t="s">
        <v>27</v>
      </c>
      <c r="L87">
        <v>3</v>
      </c>
      <c r="M87">
        <v>7</v>
      </c>
      <c r="N87" t="str">
        <f t="shared" si="5"/>
        <v>Medium</v>
      </c>
      <c r="O87" t="str">
        <f t="shared" si="6"/>
        <v>Average</v>
      </c>
      <c r="P87" t="str">
        <f t="shared" si="7"/>
        <v>Average</v>
      </c>
      <c r="Q87" t="str">
        <f t="shared" si="8"/>
        <v>Bad</v>
      </c>
      <c r="R87" t="str">
        <f t="shared" si="9"/>
        <v>High</v>
      </c>
    </row>
    <row r="88" spans="1:18" x14ac:dyDescent="0.45">
      <c r="A88">
        <v>87</v>
      </c>
      <c r="B88">
        <v>19</v>
      </c>
      <c r="C88" t="s">
        <v>19</v>
      </c>
      <c r="D88" t="s">
        <v>28</v>
      </c>
      <c r="E88" t="s">
        <v>116</v>
      </c>
      <c r="F88">
        <v>5.3</v>
      </c>
      <c r="G88" t="s">
        <v>26</v>
      </c>
      <c r="H88" t="s">
        <v>17</v>
      </c>
      <c r="I88">
        <v>5.5</v>
      </c>
      <c r="J88">
        <v>5</v>
      </c>
      <c r="K88" t="s">
        <v>18</v>
      </c>
      <c r="L88">
        <v>4</v>
      </c>
      <c r="M88">
        <v>8</v>
      </c>
      <c r="N88" t="str">
        <f t="shared" si="5"/>
        <v>Medium</v>
      </c>
      <c r="O88" t="str">
        <f t="shared" si="6"/>
        <v>Average</v>
      </c>
      <c r="P88" t="str">
        <f t="shared" si="7"/>
        <v>Average</v>
      </c>
      <c r="Q88" t="str">
        <f t="shared" si="8"/>
        <v>Bad</v>
      </c>
      <c r="R88" t="str">
        <f t="shared" si="9"/>
        <v>High</v>
      </c>
    </row>
    <row r="89" spans="1:18" x14ac:dyDescent="0.45">
      <c r="A89">
        <v>88</v>
      </c>
      <c r="B89">
        <v>23</v>
      </c>
      <c r="C89" t="s">
        <v>13</v>
      </c>
      <c r="D89" t="s">
        <v>20</v>
      </c>
      <c r="E89" t="s">
        <v>117</v>
      </c>
      <c r="F89">
        <v>2.6</v>
      </c>
      <c r="G89" t="s">
        <v>35</v>
      </c>
      <c r="H89" t="s">
        <v>23</v>
      </c>
      <c r="I89">
        <v>7.3</v>
      </c>
      <c r="J89">
        <v>8</v>
      </c>
      <c r="K89" t="s">
        <v>24</v>
      </c>
      <c r="L89">
        <v>1</v>
      </c>
      <c r="M89">
        <v>4</v>
      </c>
      <c r="N89" t="str">
        <f t="shared" si="5"/>
        <v>Low</v>
      </c>
      <c r="O89" t="str">
        <f t="shared" si="6"/>
        <v>High</v>
      </c>
      <c r="P89" t="str">
        <f t="shared" si="7"/>
        <v>High</v>
      </c>
      <c r="Q89" t="str">
        <f t="shared" si="8"/>
        <v>Good</v>
      </c>
      <c r="R89" t="str">
        <f t="shared" si="9"/>
        <v>Medium</v>
      </c>
    </row>
    <row r="90" spans="1:18" x14ac:dyDescent="0.45">
      <c r="A90">
        <v>89</v>
      </c>
      <c r="B90">
        <v>20</v>
      </c>
      <c r="C90" t="s">
        <v>19</v>
      </c>
      <c r="D90" t="s">
        <v>14</v>
      </c>
      <c r="E90" t="s">
        <v>118</v>
      </c>
      <c r="F90">
        <v>4.4000000000000004</v>
      </c>
      <c r="G90" t="s">
        <v>30</v>
      </c>
      <c r="H90" t="s">
        <v>17</v>
      </c>
      <c r="I90">
        <v>6</v>
      </c>
      <c r="J90">
        <v>6</v>
      </c>
      <c r="K90" t="s">
        <v>27</v>
      </c>
      <c r="L90">
        <v>3</v>
      </c>
      <c r="M90">
        <v>7</v>
      </c>
      <c r="N90" t="str">
        <f t="shared" si="5"/>
        <v>Medium</v>
      </c>
      <c r="O90" t="str">
        <f t="shared" si="6"/>
        <v>Average</v>
      </c>
      <c r="P90" t="str">
        <f t="shared" si="7"/>
        <v>Average</v>
      </c>
      <c r="Q90" t="str">
        <f t="shared" si="8"/>
        <v>Bad</v>
      </c>
      <c r="R90" t="str">
        <f t="shared" si="9"/>
        <v>High</v>
      </c>
    </row>
    <row r="91" spans="1:18" x14ac:dyDescent="0.45">
      <c r="A91">
        <v>90</v>
      </c>
      <c r="B91">
        <v>18</v>
      </c>
      <c r="C91" t="s">
        <v>13</v>
      </c>
      <c r="D91" t="s">
        <v>28</v>
      </c>
      <c r="E91" t="s">
        <v>119</v>
      </c>
      <c r="F91">
        <v>5.8</v>
      </c>
      <c r="G91" t="s">
        <v>16</v>
      </c>
      <c r="H91" t="s">
        <v>17</v>
      </c>
      <c r="I91">
        <v>5.2</v>
      </c>
      <c r="J91">
        <v>5</v>
      </c>
      <c r="K91" t="s">
        <v>24</v>
      </c>
      <c r="L91">
        <v>4</v>
      </c>
      <c r="M91">
        <v>9</v>
      </c>
      <c r="N91" t="str">
        <f t="shared" si="5"/>
        <v>Medium</v>
      </c>
      <c r="O91" t="str">
        <f t="shared" si="6"/>
        <v>Average</v>
      </c>
      <c r="P91" t="str">
        <f t="shared" si="7"/>
        <v>Average</v>
      </c>
      <c r="Q91" t="str">
        <f t="shared" si="8"/>
        <v>Bad</v>
      </c>
      <c r="R91" t="str">
        <f t="shared" si="9"/>
        <v>High</v>
      </c>
    </row>
    <row r="92" spans="1:18" x14ac:dyDescent="0.45">
      <c r="A92">
        <v>91</v>
      </c>
      <c r="B92">
        <v>22</v>
      </c>
      <c r="C92" t="s">
        <v>19</v>
      </c>
      <c r="D92" t="s">
        <v>20</v>
      </c>
      <c r="E92" t="s">
        <v>120</v>
      </c>
      <c r="F92">
        <v>2.9</v>
      </c>
      <c r="G92" t="s">
        <v>32</v>
      </c>
      <c r="H92" t="s">
        <v>23</v>
      </c>
      <c r="I92">
        <v>7</v>
      </c>
      <c r="J92">
        <v>7</v>
      </c>
      <c r="K92" t="s">
        <v>18</v>
      </c>
      <c r="L92">
        <v>2</v>
      </c>
      <c r="M92">
        <v>5</v>
      </c>
      <c r="N92" t="str">
        <f t="shared" si="5"/>
        <v>Low</v>
      </c>
      <c r="O92" t="str">
        <f t="shared" si="6"/>
        <v>Average</v>
      </c>
      <c r="P92" t="str">
        <f t="shared" si="7"/>
        <v>Average</v>
      </c>
      <c r="Q92" t="str">
        <f t="shared" si="8"/>
        <v>Bad</v>
      </c>
      <c r="R92" t="str">
        <f t="shared" si="9"/>
        <v>Medium</v>
      </c>
    </row>
    <row r="93" spans="1:18" x14ac:dyDescent="0.45">
      <c r="A93">
        <v>92</v>
      </c>
      <c r="B93">
        <v>19</v>
      </c>
      <c r="C93" t="s">
        <v>13</v>
      </c>
      <c r="D93" t="s">
        <v>14</v>
      </c>
      <c r="E93" t="s">
        <v>121</v>
      </c>
      <c r="F93">
        <v>4.7</v>
      </c>
      <c r="G93" t="s">
        <v>26</v>
      </c>
      <c r="H93" t="s">
        <v>17</v>
      </c>
      <c r="I93">
        <v>5.8</v>
      </c>
      <c r="J93">
        <v>6</v>
      </c>
      <c r="K93" t="s">
        <v>27</v>
      </c>
      <c r="L93">
        <v>3</v>
      </c>
      <c r="M93">
        <v>7</v>
      </c>
      <c r="N93" t="str">
        <f t="shared" si="5"/>
        <v>Medium</v>
      </c>
      <c r="O93" t="str">
        <f t="shared" si="6"/>
        <v>Average</v>
      </c>
      <c r="P93" t="str">
        <f t="shared" si="7"/>
        <v>Average</v>
      </c>
      <c r="Q93" t="str">
        <f t="shared" si="8"/>
        <v>Bad</v>
      </c>
      <c r="R93" t="str">
        <f t="shared" si="9"/>
        <v>High</v>
      </c>
    </row>
    <row r="94" spans="1:18" x14ac:dyDescent="0.45">
      <c r="A94">
        <v>93</v>
      </c>
      <c r="B94">
        <v>21</v>
      </c>
      <c r="C94" t="s">
        <v>19</v>
      </c>
      <c r="D94" t="s">
        <v>14</v>
      </c>
      <c r="E94" t="s">
        <v>122</v>
      </c>
      <c r="F94">
        <v>3.7</v>
      </c>
      <c r="G94" t="s">
        <v>37</v>
      </c>
      <c r="H94" t="s">
        <v>23</v>
      </c>
      <c r="I94">
        <v>6.5</v>
      </c>
      <c r="J94">
        <v>7</v>
      </c>
      <c r="K94" t="s">
        <v>24</v>
      </c>
      <c r="L94">
        <v>2</v>
      </c>
      <c r="M94">
        <v>6</v>
      </c>
      <c r="N94" t="str">
        <f t="shared" si="5"/>
        <v>Medium</v>
      </c>
      <c r="O94" t="str">
        <f t="shared" si="6"/>
        <v>Average</v>
      </c>
      <c r="P94" t="str">
        <f t="shared" si="7"/>
        <v>Average</v>
      </c>
      <c r="Q94" t="str">
        <f t="shared" si="8"/>
        <v>Bad</v>
      </c>
      <c r="R94" t="str">
        <f t="shared" si="9"/>
        <v>Medium</v>
      </c>
    </row>
    <row r="95" spans="1:18" x14ac:dyDescent="0.45">
      <c r="A95">
        <v>94</v>
      </c>
      <c r="B95">
        <v>20</v>
      </c>
      <c r="C95" t="s">
        <v>13</v>
      </c>
      <c r="D95" t="s">
        <v>28</v>
      </c>
      <c r="E95" t="s">
        <v>123</v>
      </c>
      <c r="F95">
        <v>5.5</v>
      </c>
      <c r="G95" t="s">
        <v>16</v>
      </c>
      <c r="H95" t="s">
        <v>17</v>
      </c>
      <c r="I95">
        <v>5.4</v>
      </c>
      <c r="J95">
        <v>5</v>
      </c>
      <c r="K95" t="s">
        <v>18</v>
      </c>
      <c r="L95">
        <v>4</v>
      </c>
      <c r="M95">
        <v>8</v>
      </c>
      <c r="N95" t="str">
        <f t="shared" si="5"/>
        <v>Medium</v>
      </c>
      <c r="O95" t="str">
        <f t="shared" si="6"/>
        <v>Average</v>
      </c>
      <c r="P95" t="str">
        <f t="shared" si="7"/>
        <v>Average</v>
      </c>
      <c r="Q95" t="str">
        <f t="shared" si="8"/>
        <v>Bad</v>
      </c>
      <c r="R95" t="str">
        <f t="shared" si="9"/>
        <v>High</v>
      </c>
    </row>
    <row r="96" spans="1:18" x14ac:dyDescent="0.45">
      <c r="A96">
        <v>95</v>
      </c>
      <c r="B96">
        <v>23</v>
      </c>
      <c r="C96" t="s">
        <v>19</v>
      </c>
      <c r="D96" t="s">
        <v>20</v>
      </c>
      <c r="E96" t="s">
        <v>124</v>
      </c>
      <c r="F96">
        <v>2.4</v>
      </c>
      <c r="G96" t="s">
        <v>35</v>
      </c>
      <c r="H96" t="s">
        <v>23</v>
      </c>
      <c r="I96">
        <v>7.4</v>
      </c>
      <c r="J96">
        <v>8</v>
      </c>
      <c r="K96" t="s">
        <v>27</v>
      </c>
      <c r="L96">
        <v>1</v>
      </c>
      <c r="M96">
        <v>4</v>
      </c>
      <c r="N96" t="str">
        <f t="shared" si="5"/>
        <v>Low</v>
      </c>
      <c r="O96" t="str">
        <f t="shared" si="6"/>
        <v>High</v>
      </c>
      <c r="P96" t="str">
        <f t="shared" si="7"/>
        <v>High</v>
      </c>
      <c r="Q96" t="str">
        <f t="shared" si="8"/>
        <v>Good</v>
      </c>
      <c r="R96" t="str">
        <f t="shared" si="9"/>
        <v>Medium</v>
      </c>
    </row>
    <row r="97" spans="1:18" x14ac:dyDescent="0.45">
      <c r="A97">
        <v>96</v>
      </c>
      <c r="B97">
        <v>19</v>
      </c>
      <c r="C97" t="s">
        <v>13</v>
      </c>
      <c r="D97" t="s">
        <v>14</v>
      </c>
      <c r="E97" t="s">
        <v>125</v>
      </c>
      <c r="F97">
        <v>4.9000000000000004</v>
      </c>
      <c r="G97" t="s">
        <v>26</v>
      </c>
      <c r="H97" t="s">
        <v>17</v>
      </c>
      <c r="I97">
        <v>5.7</v>
      </c>
      <c r="J97">
        <v>6</v>
      </c>
      <c r="K97" t="s">
        <v>24</v>
      </c>
      <c r="L97">
        <v>3</v>
      </c>
      <c r="M97">
        <v>7</v>
      </c>
      <c r="N97" t="str">
        <f t="shared" si="5"/>
        <v>Medium</v>
      </c>
      <c r="O97" t="str">
        <f t="shared" si="6"/>
        <v>Average</v>
      </c>
      <c r="P97" t="str">
        <f t="shared" si="7"/>
        <v>Average</v>
      </c>
      <c r="Q97" t="str">
        <f t="shared" si="8"/>
        <v>Bad</v>
      </c>
      <c r="R97" t="str">
        <f t="shared" si="9"/>
        <v>High</v>
      </c>
    </row>
    <row r="98" spans="1:18" x14ac:dyDescent="0.45">
      <c r="A98">
        <v>97</v>
      </c>
      <c r="B98">
        <v>18</v>
      </c>
      <c r="C98" t="s">
        <v>19</v>
      </c>
      <c r="D98" t="s">
        <v>28</v>
      </c>
      <c r="E98" t="s">
        <v>126</v>
      </c>
      <c r="F98">
        <v>5.7</v>
      </c>
      <c r="G98" t="s">
        <v>37</v>
      </c>
      <c r="H98" t="s">
        <v>17</v>
      </c>
      <c r="I98">
        <v>5.3</v>
      </c>
      <c r="J98">
        <v>5</v>
      </c>
      <c r="K98" t="s">
        <v>18</v>
      </c>
      <c r="L98">
        <v>4</v>
      </c>
      <c r="M98">
        <v>8</v>
      </c>
      <c r="N98" t="str">
        <f t="shared" si="5"/>
        <v>Medium</v>
      </c>
      <c r="O98" t="str">
        <f t="shared" si="6"/>
        <v>Average</v>
      </c>
      <c r="P98" t="str">
        <f t="shared" si="7"/>
        <v>Average</v>
      </c>
      <c r="Q98" t="str">
        <f t="shared" si="8"/>
        <v>Bad</v>
      </c>
      <c r="R98" t="str">
        <f t="shared" si="9"/>
        <v>High</v>
      </c>
    </row>
    <row r="99" spans="1:18" x14ac:dyDescent="0.45">
      <c r="A99">
        <v>98</v>
      </c>
      <c r="B99">
        <v>22</v>
      </c>
      <c r="C99" t="s">
        <v>13</v>
      </c>
      <c r="D99" t="s">
        <v>20</v>
      </c>
      <c r="E99" t="s">
        <v>127</v>
      </c>
      <c r="F99">
        <v>2.8</v>
      </c>
      <c r="G99" t="s">
        <v>35</v>
      </c>
      <c r="H99" t="s">
        <v>23</v>
      </c>
      <c r="I99">
        <v>7.1</v>
      </c>
      <c r="J99">
        <v>8</v>
      </c>
      <c r="K99" t="s">
        <v>27</v>
      </c>
      <c r="L99">
        <v>1</v>
      </c>
      <c r="M99">
        <v>4</v>
      </c>
      <c r="N99" t="str">
        <f t="shared" si="5"/>
        <v>Low</v>
      </c>
      <c r="O99" t="str">
        <f t="shared" si="6"/>
        <v>Average</v>
      </c>
      <c r="P99" t="str">
        <f t="shared" si="7"/>
        <v>High</v>
      </c>
      <c r="Q99" t="str">
        <f t="shared" si="8"/>
        <v>Good</v>
      </c>
      <c r="R99" t="str">
        <f t="shared" si="9"/>
        <v>Medium</v>
      </c>
    </row>
    <row r="100" spans="1:18" x14ac:dyDescent="0.45">
      <c r="A100">
        <v>99</v>
      </c>
      <c r="B100">
        <v>20</v>
      </c>
      <c r="C100" t="s">
        <v>19</v>
      </c>
      <c r="D100" t="s">
        <v>14</v>
      </c>
      <c r="E100" t="s">
        <v>128</v>
      </c>
      <c r="F100">
        <v>4.5999999999999996</v>
      </c>
      <c r="G100" t="s">
        <v>16</v>
      </c>
      <c r="H100" t="s">
        <v>17</v>
      </c>
      <c r="I100">
        <v>5.9</v>
      </c>
      <c r="J100">
        <v>6</v>
      </c>
      <c r="K100" t="s">
        <v>24</v>
      </c>
      <c r="L100">
        <v>3</v>
      </c>
      <c r="M100">
        <v>7</v>
      </c>
      <c r="N100" t="str">
        <f t="shared" si="5"/>
        <v>Medium</v>
      </c>
      <c r="O100" t="str">
        <f t="shared" si="6"/>
        <v>High</v>
      </c>
      <c r="P100" t="str">
        <f t="shared" si="7"/>
        <v>Average</v>
      </c>
      <c r="Q100" t="str">
        <f t="shared" si="8"/>
        <v>Bad</v>
      </c>
      <c r="R100" t="str">
        <f t="shared" si="9"/>
        <v>High</v>
      </c>
    </row>
    <row r="101" spans="1:18" x14ac:dyDescent="0.45">
      <c r="A101">
        <v>100</v>
      </c>
      <c r="B101">
        <v>21</v>
      </c>
      <c r="C101" t="s">
        <v>13</v>
      </c>
      <c r="D101" t="s">
        <v>14</v>
      </c>
      <c r="E101" t="s">
        <v>129</v>
      </c>
      <c r="F101">
        <v>5.4</v>
      </c>
      <c r="G101" t="s">
        <v>26</v>
      </c>
      <c r="H101" t="s">
        <v>17</v>
      </c>
      <c r="I101">
        <v>5.5</v>
      </c>
      <c r="J101">
        <v>5</v>
      </c>
      <c r="K101" t="s">
        <v>18</v>
      </c>
      <c r="L101">
        <v>4</v>
      </c>
      <c r="M101">
        <v>8</v>
      </c>
      <c r="N101" t="str">
        <f t="shared" si="5"/>
        <v>Medium</v>
      </c>
      <c r="O101" t="str">
        <f t="shared" si="6"/>
        <v>Average</v>
      </c>
      <c r="P101" t="str">
        <f t="shared" si="7"/>
        <v>Average</v>
      </c>
      <c r="Q101" t="str">
        <f t="shared" si="8"/>
        <v>Bad</v>
      </c>
      <c r="R101" t="str">
        <f t="shared" si="9"/>
        <v>High</v>
      </c>
    </row>
    <row r="102" spans="1:18" x14ac:dyDescent="0.45">
      <c r="A102">
        <v>101</v>
      </c>
      <c r="B102">
        <v>19</v>
      </c>
      <c r="C102" t="s">
        <v>19</v>
      </c>
      <c r="D102" t="s">
        <v>28</v>
      </c>
      <c r="E102" t="s">
        <v>130</v>
      </c>
      <c r="F102">
        <v>5.8</v>
      </c>
      <c r="G102" t="s">
        <v>30</v>
      </c>
      <c r="H102" t="s">
        <v>17</v>
      </c>
      <c r="I102">
        <v>5.2</v>
      </c>
      <c r="J102">
        <v>5</v>
      </c>
      <c r="K102" t="s">
        <v>27</v>
      </c>
      <c r="L102">
        <v>4</v>
      </c>
      <c r="M102">
        <v>9</v>
      </c>
      <c r="N102" t="str">
        <f t="shared" si="5"/>
        <v>Medium</v>
      </c>
      <c r="O102" t="str">
        <f t="shared" si="6"/>
        <v>Average</v>
      </c>
      <c r="P102" t="str">
        <f t="shared" si="7"/>
        <v>Average</v>
      </c>
      <c r="Q102" t="str">
        <f t="shared" si="8"/>
        <v>Bad</v>
      </c>
      <c r="R102" t="str">
        <f t="shared" si="9"/>
        <v>High</v>
      </c>
    </row>
    <row r="103" spans="1:18" x14ac:dyDescent="0.45">
      <c r="A103">
        <v>102</v>
      </c>
      <c r="B103">
        <v>23</v>
      </c>
      <c r="C103" t="s">
        <v>13</v>
      </c>
      <c r="D103" t="s">
        <v>20</v>
      </c>
      <c r="E103" t="s">
        <v>131</v>
      </c>
      <c r="F103">
        <v>2.5</v>
      </c>
      <c r="G103" t="s">
        <v>35</v>
      </c>
      <c r="H103" t="s">
        <v>23</v>
      </c>
      <c r="I103">
        <v>7.3</v>
      </c>
      <c r="J103">
        <v>8</v>
      </c>
      <c r="K103" t="s">
        <v>24</v>
      </c>
      <c r="L103">
        <v>1</v>
      </c>
      <c r="M103">
        <v>4</v>
      </c>
      <c r="N103" t="str">
        <f t="shared" si="5"/>
        <v>Low</v>
      </c>
      <c r="O103" t="str">
        <f t="shared" si="6"/>
        <v>High</v>
      </c>
      <c r="P103" t="str">
        <f t="shared" si="7"/>
        <v>High</v>
      </c>
      <c r="Q103" t="str">
        <f t="shared" si="8"/>
        <v>Good</v>
      </c>
      <c r="R103" t="str">
        <f t="shared" si="9"/>
        <v>Medium</v>
      </c>
    </row>
    <row r="104" spans="1:18" x14ac:dyDescent="0.45">
      <c r="A104">
        <v>103</v>
      </c>
      <c r="B104">
        <v>20</v>
      </c>
      <c r="C104" t="s">
        <v>19</v>
      </c>
      <c r="D104" t="s">
        <v>14</v>
      </c>
      <c r="E104" t="s">
        <v>132</v>
      </c>
      <c r="F104">
        <v>4.7</v>
      </c>
      <c r="G104" t="s">
        <v>32</v>
      </c>
      <c r="H104" t="s">
        <v>17</v>
      </c>
      <c r="I104">
        <v>5.8</v>
      </c>
      <c r="J104">
        <v>6</v>
      </c>
      <c r="K104" t="s">
        <v>18</v>
      </c>
      <c r="L104">
        <v>3</v>
      </c>
      <c r="M104">
        <v>7</v>
      </c>
      <c r="N104" t="str">
        <f t="shared" si="5"/>
        <v>Medium</v>
      </c>
      <c r="O104" t="str">
        <f t="shared" si="6"/>
        <v>Average</v>
      </c>
      <c r="P104" t="str">
        <f t="shared" si="7"/>
        <v>Average</v>
      </c>
      <c r="Q104" t="str">
        <f t="shared" si="8"/>
        <v>Bad</v>
      </c>
      <c r="R104" t="str">
        <f t="shared" si="9"/>
        <v>High</v>
      </c>
    </row>
    <row r="105" spans="1:18" x14ac:dyDescent="0.45">
      <c r="A105">
        <v>104</v>
      </c>
      <c r="B105">
        <v>18</v>
      </c>
      <c r="C105" t="s">
        <v>13</v>
      </c>
      <c r="D105" t="s">
        <v>28</v>
      </c>
      <c r="E105" t="s">
        <v>133</v>
      </c>
      <c r="F105">
        <v>5.6</v>
      </c>
      <c r="G105" t="s">
        <v>16</v>
      </c>
      <c r="H105" t="s">
        <v>17</v>
      </c>
      <c r="I105">
        <v>5.4</v>
      </c>
      <c r="J105">
        <v>5</v>
      </c>
      <c r="K105" t="s">
        <v>24</v>
      </c>
      <c r="L105">
        <v>4</v>
      </c>
      <c r="M105">
        <v>8</v>
      </c>
      <c r="N105" t="str">
        <f t="shared" si="5"/>
        <v>Medium</v>
      </c>
      <c r="O105" t="str">
        <f t="shared" si="6"/>
        <v>Average</v>
      </c>
      <c r="P105" t="str">
        <f t="shared" si="7"/>
        <v>Average</v>
      </c>
      <c r="Q105" t="str">
        <f t="shared" si="8"/>
        <v>Bad</v>
      </c>
      <c r="R105" t="str">
        <f t="shared" si="9"/>
        <v>High</v>
      </c>
    </row>
    <row r="106" spans="1:18" x14ac:dyDescent="0.45">
      <c r="A106">
        <v>105</v>
      </c>
      <c r="B106">
        <v>22</v>
      </c>
      <c r="C106" t="s">
        <v>19</v>
      </c>
      <c r="D106" t="s">
        <v>20</v>
      </c>
      <c r="E106" t="s">
        <v>134</v>
      </c>
      <c r="F106">
        <v>2.9</v>
      </c>
      <c r="G106" t="s">
        <v>35</v>
      </c>
      <c r="H106" t="s">
        <v>23</v>
      </c>
      <c r="I106">
        <v>7</v>
      </c>
      <c r="J106">
        <v>7</v>
      </c>
      <c r="K106" t="s">
        <v>27</v>
      </c>
      <c r="L106">
        <v>2</v>
      </c>
      <c r="M106">
        <v>5</v>
      </c>
      <c r="N106" t="str">
        <f t="shared" si="5"/>
        <v>Low</v>
      </c>
      <c r="O106" t="str">
        <f t="shared" si="6"/>
        <v>High</v>
      </c>
      <c r="P106" t="str">
        <f t="shared" si="7"/>
        <v>Average</v>
      </c>
      <c r="Q106" t="str">
        <f t="shared" si="8"/>
        <v>Bad</v>
      </c>
      <c r="R106" t="str">
        <f t="shared" si="9"/>
        <v>Medium</v>
      </c>
    </row>
    <row r="107" spans="1:18" x14ac:dyDescent="0.45">
      <c r="A107">
        <v>106</v>
      </c>
      <c r="B107">
        <v>19</v>
      </c>
      <c r="C107" t="s">
        <v>13</v>
      </c>
      <c r="D107" t="s">
        <v>14</v>
      </c>
      <c r="E107" t="s">
        <v>135</v>
      </c>
      <c r="F107">
        <v>4.8</v>
      </c>
      <c r="G107" t="s">
        <v>26</v>
      </c>
      <c r="H107" t="s">
        <v>17</v>
      </c>
      <c r="I107">
        <v>5.7</v>
      </c>
      <c r="J107">
        <v>6</v>
      </c>
      <c r="K107" t="s">
        <v>18</v>
      </c>
      <c r="L107">
        <v>3</v>
      </c>
      <c r="M107">
        <v>7</v>
      </c>
      <c r="N107" t="str">
        <f t="shared" si="5"/>
        <v>Medium</v>
      </c>
      <c r="O107" t="str">
        <f t="shared" si="6"/>
        <v>Average</v>
      </c>
      <c r="P107" t="str">
        <f t="shared" si="7"/>
        <v>Average</v>
      </c>
      <c r="Q107" t="str">
        <f t="shared" si="8"/>
        <v>Bad</v>
      </c>
      <c r="R107" t="str">
        <f t="shared" si="9"/>
        <v>High</v>
      </c>
    </row>
    <row r="108" spans="1:18" x14ac:dyDescent="0.45">
      <c r="A108">
        <v>107</v>
      </c>
      <c r="B108">
        <v>21</v>
      </c>
      <c r="C108" t="s">
        <v>19</v>
      </c>
      <c r="D108" t="s">
        <v>14</v>
      </c>
      <c r="E108" t="s">
        <v>136</v>
      </c>
      <c r="F108">
        <v>3.8</v>
      </c>
      <c r="G108" t="s">
        <v>30</v>
      </c>
      <c r="H108" t="s">
        <v>23</v>
      </c>
      <c r="I108">
        <v>6.6</v>
      </c>
      <c r="J108">
        <v>7</v>
      </c>
      <c r="K108" t="s">
        <v>24</v>
      </c>
      <c r="L108">
        <v>2</v>
      </c>
      <c r="M108">
        <v>6</v>
      </c>
      <c r="N108" t="str">
        <f t="shared" si="5"/>
        <v>Medium</v>
      </c>
      <c r="O108" t="str">
        <f t="shared" si="6"/>
        <v>Average</v>
      </c>
      <c r="P108" t="str">
        <f t="shared" si="7"/>
        <v>Average</v>
      </c>
      <c r="Q108" t="str">
        <f t="shared" si="8"/>
        <v>Bad</v>
      </c>
      <c r="R108" t="str">
        <f t="shared" si="9"/>
        <v>Medium</v>
      </c>
    </row>
    <row r="109" spans="1:18" x14ac:dyDescent="0.45">
      <c r="A109">
        <v>108</v>
      </c>
      <c r="B109">
        <v>20</v>
      </c>
      <c r="C109" t="s">
        <v>13</v>
      </c>
      <c r="D109" t="s">
        <v>28</v>
      </c>
      <c r="E109" t="s">
        <v>137</v>
      </c>
      <c r="F109">
        <v>5.5</v>
      </c>
      <c r="G109" t="s">
        <v>37</v>
      </c>
      <c r="H109" t="s">
        <v>17</v>
      </c>
      <c r="I109">
        <v>5.5</v>
      </c>
      <c r="J109">
        <v>5</v>
      </c>
      <c r="K109" t="s">
        <v>27</v>
      </c>
      <c r="L109">
        <v>4</v>
      </c>
      <c r="M109">
        <v>8</v>
      </c>
      <c r="N109" t="str">
        <f t="shared" si="5"/>
        <v>Medium</v>
      </c>
      <c r="O109" t="str">
        <f t="shared" si="6"/>
        <v>High</v>
      </c>
      <c r="P109" t="str">
        <f t="shared" si="7"/>
        <v>Average</v>
      </c>
      <c r="Q109" t="str">
        <f t="shared" si="8"/>
        <v>Bad</v>
      </c>
      <c r="R109" t="str">
        <f t="shared" si="9"/>
        <v>High</v>
      </c>
    </row>
    <row r="110" spans="1:18" x14ac:dyDescent="0.45">
      <c r="A110">
        <v>109</v>
      </c>
      <c r="B110">
        <v>23</v>
      </c>
      <c r="C110" t="s">
        <v>19</v>
      </c>
      <c r="D110" t="s">
        <v>20</v>
      </c>
      <c r="E110" t="s">
        <v>138</v>
      </c>
      <c r="F110">
        <v>2.6</v>
      </c>
      <c r="G110" t="s">
        <v>35</v>
      </c>
      <c r="H110" t="s">
        <v>23</v>
      </c>
      <c r="I110">
        <v>7.2</v>
      </c>
      <c r="J110">
        <v>8</v>
      </c>
      <c r="K110" t="s">
        <v>18</v>
      </c>
      <c r="L110">
        <v>1</v>
      </c>
      <c r="M110">
        <v>4</v>
      </c>
      <c r="N110" t="str">
        <f t="shared" si="5"/>
        <v>Low</v>
      </c>
      <c r="O110" t="str">
        <f t="shared" si="6"/>
        <v>Average</v>
      </c>
      <c r="P110" t="str">
        <f t="shared" si="7"/>
        <v>High</v>
      </c>
      <c r="Q110" t="str">
        <f t="shared" si="8"/>
        <v>Good</v>
      </c>
      <c r="R110" t="str">
        <f t="shared" si="9"/>
        <v>Medium</v>
      </c>
    </row>
    <row r="111" spans="1:18" x14ac:dyDescent="0.45">
      <c r="A111">
        <v>110</v>
      </c>
      <c r="B111">
        <v>19</v>
      </c>
      <c r="C111" t="s">
        <v>13</v>
      </c>
      <c r="D111" t="s">
        <v>14</v>
      </c>
      <c r="E111" t="s">
        <v>139</v>
      </c>
      <c r="F111">
        <v>4.9000000000000004</v>
      </c>
      <c r="G111" t="s">
        <v>16</v>
      </c>
      <c r="H111" t="s">
        <v>17</v>
      </c>
      <c r="I111">
        <v>5.8</v>
      </c>
      <c r="J111">
        <v>6</v>
      </c>
      <c r="K111" t="s">
        <v>24</v>
      </c>
      <c r="L111">
        <v>3</v>
      </c>
      <c r="M111">
        <v>7</v>
      </c>
      <c r="N111" t="str">
        <f t="shared" si="5"/>
        <v>Medium</v>
      </c>
      <c r="O111" t="str">
        <f t="shared" si="6"/>
        <v>Average</v>
      </c>
      <c r="P111" t="str">
        <f t="shared" si="7"/>
        <v>Average</v>
      </c>
      <c r="Q111" t="str">
        <f t="shared" si="8"/>
        <v>Bad</v>
      </c>
      <c r="R111" t="str">
        <f t="shared" si="9"/>
        <v>High</v>
      </c>
    </row>
    <row r="112" spans="1:18" x14ac:dyDescent="0.45">
      <c r="A112">
        <v>111</v>
      </c>
      <c r="B112">
        <v>20</v>
      </c>
      <c r="C112" t="s">
        <v>19</v>
      </c>
      <c r="D112" t="s">
        <v>14</v>
      </c>
      <c r="E112" t="s">
        <v>15</v>
      </c>
      <c r="F112">
        <v>6.1</v>
      </c>
      <c r="G112" t="s">
        <v>16</v>
      </c>
      <c r="H112" t="s">
        <v>17</v>
      </c>
      <c r="I112">
        <v>6.2</v>
      </c>
      <c r="J112">
        <v>5</v>
      </c>
      <c r="K112" t="s">
        <v>24</v>
      </c>
      <c r="L112">
        <v>4</v>
      </c>
      <c r="M112">
        <v>8</v>
      </c>
      <c r="N112" t="str">
        <f t="shared" si="5"/>
        <v>Medium</v>
      </c>
      <c r="O112" t="str">
        <f t="shared" si="6"/>
        <v>High</v>
      </c>
      <c r="P112" t="str">
        <f t="shared" si="7"/>
        <v>Average</v>
      </c>
      <c r="Q112" t="str">
        <f t="shared" si="8"/>
        <v>Bad</v>
      </c>
      <c r="R112" t="str">
        <f t="shared" si="9"/>
        <v>High</v>
      </c>
    </row>
    <row r="113" spans="1:18" x14ac:dyDescent="0.45">
      <c r="A113">
        <v>112</v>
      </c>
      <c r="B113">
        <v>21</v>
      </c>
      <c r="C113" t="s">
        <v>13</v>
      </c>
      <c r="D113" t="s">
        <v>14</v>
      </c>
      <c r="E113" t="s">
        <v>21</v>
      </c>
      <c r="F113">
        <v>5.8</v>
      </c>
      <c r="G113" t="s">
        <v>26</v>
      </c>
      <c r="H113" t="s">
        <v>17</v>
      </c>
      <c r="I113">
        <v>5.9</v>
      </c>
      <c r="J113">
        <v>6</v>
      </c>
      <c r="K113" t="s">
        <v>18</v>
      </c>
      <c r="L113">
        <v>3</v>
      </c>
      <c r="M113">
        <v>7</v>
      </c>
      <c r="N113" t="str">
        <f t="shared" si="5"/>
        <v>Medium</v>
      </c>
      <c r="O113" t="str">
        <f t="shared" si="6"/>
        <v>Average</v>
      </c>
      <c r="P113" t="str">
        <f t="shared" si="7"/>
        <v>Average</v>
      </c>
      <c r="Q113" t="str">
        <f t="shared" si="8"/>
        <v>Bad</v>
      </c>
      <c r="R113" t="str">
        <f t="shared" si="9"/>
        <v>High</v>
      </c>
    </row>
    <row r="114" spans="1:18" x14ac:dyDescent="0.45">
      <c r="A114">
        <v>113</v>
      </c>
      <c r="B114">
        <v>19</v>
      </c>
      <c r="C114" t="s">
        <v>19</v>
      </c>
      <c r="D114" t="s">
        <v>14</v>
      </c>
      <c r="E114" t="s">
        <v>136</v>
      </c>
      <c r="F114">
        <v>4.9000000000000004</v>
      </c>
      <c r="G114" t="s">
        <v>32</v>
      </c>
      <c r="H114" t="s">
        <v>23</v>
      </c>
      <c r="I114">
        <v>7.1</v>
      </c>
      <c r="J114">
        <v>7</v>
      </c>
      <c r="K114" t="s">
        <v>24</v>
      </c>
      <c r="L114">
        <v>2</v>
      </c>
      <c r="M114">
        <v>5</v>
      </c>
      <c r="N114" t="str">
        <f t="shared" si="5"/>
        <v>Medium</v>
      </c>
      <c r="O114" t="str">
        <f t="shared" si="6"/>
        <v>Average</v>
      </c>
      <c r="P114" t="str">
        <f t="shared" si="7"/>
        <v>High</v>
      </c>
      <c r="Q114" t="str">
        <f t="shared" si="8"/>
        <v>Bad</v>
      </c>
      <c r="R114" t="str">
        <f t="shared" si="9"/>
        <v>Medium</v>
      </c>
    </row>
    <row r="115" spans="1:18" x14ac:dyDescent="0.45">
      <c r="A115">
        <v>114</v>
      </c>
      <c r="B115">
        <v>22</v>
      </c>
      <c r="C115" t="s">
        <v>13</v>
      </c>
      <c r="D115" t="s">
        <v>20</v>
      </c>
      <c r="E115" t="s">
        <v>135</v>
      </c>
      <c r="F115">
        <v>5.5</v>
      </c>
      <c r="G115" t="s">
        <v>16</v>
      </c>
      <c r="H115" t="s">
        <v>17</v>
      </c>
      <c r="I115">
        <v>6</v>
      </c>
      <c r="J115">
        <v>5</v>
      </c>
      <c r="K115" t="s">
        <v>24</v>
      </c>
      <c r="L115">
        <v>4</v>
      </c>
      <c r="M115">
        <v>8</v>
      </c>
      <c r="N115" t="str">
        <f t="shared" si="5"/>
        <v>Medium</v>
      </c>
      <c r="O115" t="str">
        <f t="shared" si="6"/>
        <v>High</v>
      </c>
      <c r="P115" t="str">
        <f t="shared" si="7"/>
        <v>Average</v>
      </c>
      <c r="Q115" t="str">
        <f t="shared" si="8"/>
        <v>Bad</v>
      </c>
      <c r="R115" t="str">
        <f t="shared" si="9"/>
        <v>High</v>
      </c>
    </row>
    <row r="116" spans="1:18" x14ac:dyDescent="0.45">
      <c r="A116">
        <v>115</v>
      </c>
      <c r="B116">
        <v>20</v>
      </c>
      <c r="C116" t="s">
        <v>19</v>
      </c>
      <c r="D116" t="s">
        <v>14</v>
      </c>
      <c r="E116" t="s">
        <v>138</v>
      </c>
      <c r="F116">
        <v>5.2</v>
      </c>
      <c r="G116" t="s">
        <v>26</v>
      </c>
      <c r="H116" t="s">
        <v>17</v>
      </c>
      <c r="I116">
        <v>6.3</v>
      </c>
      <c r="J116">
        <v>6</v>
      </c>
      <c r="K116" t="s">
        <v>18</v>
      </c>
      <c r="L116">
        <v>3</v>
      </c>
      <c r="M116">
        <v>7</v>
      </c>
      <c r="N116" t="str">
        <f t="shared" si="5"/>
        <v>Medium</v>
      </c>
      <c r="O116" t="str">
        <f t="shared" si="6"/>
        <v>Average</v>
      </c>
      <c r="P116" t="str">
        <f t="shared" si="7"/>
        <v>Average</v>
      </c>
      <c r="Q116" t="str">
        <f t="shared" si="8"/>
        <v>Bad</v>
      </c>
      <c r="R116" t="str">
        <f t="shared" si="9"/>
        <v>High</v>
      </c>
    </row>
    <row r="117" spans="1:18" x14ac:dyDescent="0.45">
      <c r="A117">
        <v>116</v>
      </c>
      <c r="B117">
        <v>19</v>
      </c>
      <c r="C117" t="s">
        <v>13</v>
      </c>
      <c r="D117" t="s">
        <v>14</v>
      </c>
      <c r="E117" t="s">
        <v>139</v>
      </c>
      <c r="F117">
        <v>4.8</v>
      </c>
      <c r="G117" t="s">
        <v>16</v>
      </c>
      <c r="H117" t="s">
        <v>23</v>
      </c>
      <c r="I117">
        <v>7.2</v>
      </c>
      <c r="J117">
        <v>8</v>
      </c>
      <c r="K117" t="s">
        <v>24</v>
      </c>
      <c r="L117">
        <v>2</v>
      </c>
      <c r="M117">
        <v>5</v>
      </c>
      <c r="N117" t="str">
        <f t="shared" si="5"/>
        <v>Medium</v>
      </c>
      <c r="O117" t="str">
        <f t="shared" si="6"/>
        <v>Average</v>
      </c>
      <c r="P117" t="str">
        <f t="shared" si="7"/>
        <v>High</v>
      </c>
      <c r="Q117" t="str">
        <f t="shared" si="8"/>
        <v>Good</v>
      </c>
      <c r="R117" t="str">
        <f t="shared" si="9"/>
        <v>Medium</v>
      </c>
    </row>
    <row r="118" spans="1:18" x14ac:dyDescent="0.45">
      <c r="A118">
        <v>117</v>
      </c>
      <c r="B118">
        <v>21</v>
      </c>
      <c r="C118" t="s">
        <v>19</v>
      </c>
      <c r="D118" t="s">
        <v>20</v>
      </c>
      <c r="E118" t="s">
        <v>15</v>
      </c>
      <c r="F118">
        <v>6</v>
      </c>
      <c r="G118" t="s">
        <v>32</v>
      </c>
      <c r="H118" t="s">
        <v>17</v>
      </c>
      <c r="I118">
        <v>5.8</v>
      </c>
      <c r="J118">
        <v>5</v>
      </c>
      <c r="K118" t="s">
        <v>18</v>
      </c>
      <c r="L118">
        <v>4</v>
      </c>
      <c r="M118">
        <v>8</v>
      </c>
      <c r="N118" t="str">
        <f t="shared" si="5"/>
        <v>Medium</v>
      </c>
      <c r="O118" t="str">
        <f t="shared" si="6"/>
        <v>High</v>
      </c>
      <c r="P118" t="str">
        <f t="shared" si="7"/>
        <v>Average</v>
      </c>
      <c r="Q118" t="str">
        <f t="shared" si="8"/>
        <v>Bad</v>
      </c>
      <c r="R118" t="str">
        <f t="shared" si="9"/>
        <v>High</v>
      </c>
    </row>
    <row r="119" spans="1:18" x14ac:dyDescent="0.45">
      <c r="A119">
        <v>118</v>
      </c>
      <c r="B119">
        <v>20</v>
      </c>
      <c r="C119" t="s">
        <v>13</v>
      </c>
      <c r="D119" t="s">
        <v>14</v>
      </c>
      <c r="E119" t="s">
        <v>21</v>
      </c>
      <c r="F119">
        <v>5.7</v>
      </c>
      <c r="G119" t="s">
        <v>16</v>
      </c>
      <c r="H119" t="s">
        <v>17</v>
      </c>
      <c r="I119">
        <v>6.1</v>
      </c>
      <c r="J119">
        <v>6</v>
      </c>
      <c r="K119" t="s">
        <v>24</v>
      </c>
      <c r="L119">
        <v>3</v>
      </c>
      <c r="M119">
        <v>7</v>
      </c>
      <c r="N119" t="str">
        <f t="shared" si="5"/>
        <v>Medium</v>
      </c>
      <c r="O119" t="str">
        <f t="shared" si="6"/>
        <v>Average</v>
      </c>
      <c r="P119" t="str">
        <f t="shared" si="7"/>
        <v>Average</v>
      </c>
      <c r="Q119" t="str">
        <f t="shared" si="8"/>
        <v>Bad</v>
      </c>
      <c r="R119" t="str">
        <f t="shared" si="9"/>
        <v>High</v>
      </c>
    </row>
    <row r="120" spans="1:18" x14ac:dyDescent="0.45">
      <c r="A120">
        <v>119</v>
      </c>
      <c r="B120">
        <v>22</v>
      </c>
      <c r="C120" t="s">
        <v>19</v>
      </c>
      <c r="D120" t="s">
        <v>20</v>
      </c>
      <c r="E120" t="s">
        <v>136</v>
      </c>
      <c r="F120">
        <v>4.7</v>
      </c>
      <c r="G120" t="s">
        <v>26</v>
      </c>
      <c r="H120" t="s">
        <v>23</v>
      </c>
      <c r="I120">
        <v>7.3</v>
      </c>
      <c r="J120">
        <v>7</v>
      </c>
      <c r="K120" t="s">
        <v>24</v>
      </c>
      <c r="L120">
        <v>2</v>
      </c>
      <c r="M120">
        <v>5</v>
      </c>
      <c r="N120" t="str">
        <f t="shared" si="5"/>
        <v>Medium</v>
      </c>
      <c r="O120" t="str">
        <f t="shared" si="6"/>
        <v>Average</v>
      </c>
      <c r="P120" t="str">
        <f t="shared" si="7"/>
        <v>High</v>
      </c>
      <c r="Q120" t="str">
        <f t="shared" si="8"/>
        <v>Bad</v>
      </c>
      <c r="R120" t="str">
        <f t="shared" si="9"/>
        <v>Medium</v>
      </c>
    </row>
    <row r="121" spans="1:18" x14ac:dyDescent="0.45">
      <c r="A121">
        <v>120</v>
      </c>
      <c r="B121">
        <v>19</v>
      </c>
      <c r="C121" t="s">
        <v>13</v>
      </c>
      <c r="D121" t="s">
        <v>14</v>
      </c>
      <c r="E121" t="s">
        <v>135</v>
      </c>
      <c r="F121">
        <v>5.4</v>
      </c>
      <c r="G121" t="s">
        <v>16</v>
      </c>
      <c r="H121" t="s">
        <v>17</v>
      </c>
      <c r="I121">
        <v>6.2</v>
      </c>
      <c r="J121">
        <v>5</v>
      </c>
      <c r="K121" t="s">
        <v>18</v>
      </c>
      <c r="L121">
        <v>4</v>
      </c>
      <c r="M121">
        <v>8</v>
      </c>
      <c r="N121" t="str">
        <f t="shared" si="5"/>
        <v>Medium</v>
      </c>
      <c r="O121" t="str">
        <f t="shared" si="6"/>
        <v>High</v>
      </c>
      <c r="P121" t="str">
        <f t="shared" si="7"/>
        <v>Average</v>
      </c>
      <c r="Q121" t="str">
        <f t="shared" si="8"/>
        <v>Bad</v>
      </c>
      <c r="R121" t="str">
        <f t="shared" si="9"/>
        <v>High</v>
      </c>
    </row>
    <row r="122" spans="1:18" x14ac:dyDescent="0.45">
      <c r="A122">
        <v>121</v>
      </c>
      <c r="B122">
        <v>20</v>
      </c>
      <c r="C122" t="s">
        <v>19</v>
      </c>
      <c r="D122" t="s">
        <v>14</v>
      </c>
      <c r="E122" t="s">
        <v>138</v>
      </c>
      <c r="F122">
        <v>5.9</v>
      </c>
      <c r="G122" t="s">
        <v>32</v>
      </c>
      <c r="H122" t="s">
        <v>17</v>
      </c>
      <c r="I122">
        <v>5.9</v>
      </c>
      <c r="J122">
        <v>6</v>
      </c>
      <c r="K122" t="s">
        <v>24</v>
      </c>
      <c r="L122">
        <v>3</v>
      </c>
      <c r="M122">
        <v>7</v>
      </c>
      <c r="N122" t="str">
        <f t="shared" si="5"/>
        <v>Medium</v>
      </c>
      <c r="O122" t="str">
        <f t="shared" si="6"/>
        <v>Average</v>
      </c>
      <c r="P122" t="str">
        <f t="shared" si="7"/>
        <v>Average</v>
      </c>
      <c r="Q122" t="str">
        <f t="shared" si="8"/>
        <v>Bad</v>
      </c>
      <c r="R122" t="str">
        <f t="shared" si="9"/>
        <v>High</v>
      </c>
    </row>
    <row r="123" spans="1:18" x14ac:dyDescent="0.45">
      <c r="A123">
        <v>122</v>
      </c>
      <c r="B123">
        <v>21</v>
      </c>
      <c r="C123" t="s">
        <v>13</v>
      </c>
      <c r="D123" t="s">
        <v>20</v>
      </c>
      <c r="E123" t="s">
        <v>139</v>
      </c>
      <c r="F123">
        <v>4.5999999999999996</v>
      </c>
      <c r="G123" t="s">
        <v>16</v>
      </c>
      <c r="H123" t="s">
        <v>23</v>
      </c>
      <c r="I123">
        <v>7.4</v>
      </c>
      <c r="J123">
        <v>8</v>
      </c>
      <c r="K123" t="s">
        <v>18</v>
      </c>
      <c r="L123">
        <v>2</v>
      </c>
      <c r="M123">
        <v>5</v>
      </c>
      <c r="N123" t="str">
        <f t="shared" si="5"/>
        <v>Medium</v>
      </c>
      <c r="O123" t="str">
        <f t="shared" si="6"/>
        <v>Average</v>
      </c>
      <c r="P123" t="str">
        <f t="shared" si="7"/>
        <v>High</v>
      </c>
      <c r="Q123" t="str">
        <f t="shared" si="8"/>
        <v>Good</v>
      </c>
      <c r="R123" t="str">
        <f t="shared" si="9"/>
        <v>Medium</v>
      </c>
    </row>
    <row r="124" spans="1:18" x14ac:dyDescent="0.45">
      <c r="A124">
        <v>123</v>
      </c>
      <c r="B124">
        <v>19</v>
      </c>
      <c r="C124" t="s">
        <v>19</v>
      </c>
      <c r="D124" t="s">
        <v>14</v>
      </c>
      <c r="E124" t="s">
        <v>15</v>
      </c>
      <c r="F124">
        <v>5.3</v>
      </c>
      <c r="G124" t="s">
        <v>26</v>
      </c>
      <c r="H124" t="s">
        <v>17</v>
      </c>
      <c r="I124">
        <v>6.3</v>
      </c>
      <c r="J124">
        <v>5</v>
      </c>
      <c r="K124" t="s">
        <v>24</v>
      </c>
      <c r="L124">
        <v>4</v>
      </c>
      <c r="M124">
        <v>8</v>
      </c>
      <c r="N124" t="str">
        <f t="shared" si="5"/>
        <v>Medium</v>
      </c>
      <c r="O124" t="str">
        <f t="shared" si="6"/>
        <v>High</v>
      </c>
      <c r="P124" t="str">
        <f t="shared" si="7"/>
        <v>Average</v>
      </c>
      <c r="Q124" t="str">
        <f t="shared" si="8"/>
        <v>Bad</v>
      </c>
      <c r="R124" t="str">
        <f t="shared" si="9"/>
        <v>High</v>
      </c>
    </row>
    <row r="125" spans="1:18" x14ac:dyDescent="0.45">
      <c r="A125">
        <v>124</v>
      </c>
      <c r="B125">
        <v>22</v>
      </c>
      <c r="C125" t="s">
        <v>13</v>
      </c>
      <c r="D125" t="s">
        <v>20</v>
      </c>
      <c r="E125" t="s">
        <v>21</v>
      </c>
      <c r="F125">
        <v>5.8</v>
      </c>
      <c r="G125" t="s">
        <v>16</v>
      </c>
      <c r="H125" t="s">
        <v>17</v>
      </c>
      <c r="I125">
        <v>5.8</v>
      </c>
      <c r="J125">
        <v>6</v>
      </c>
      <c r="K125" t="s">
        <v>18</v>
      </c>
      <c r="L125">
        <v>3</v>
      </c>
      <c r="M125">
        <v>7</v>
      </c>
      <c r="N125" t="str">
        <f t="shared" si="5"/>
        <v>Medium</v>
      </c>
      <c r="O125" t="str">
        <f t="shared" si="6"/>
        <v>Average</v>
      </c>
      <c r="P125" t="str">
        <f t="shared" si="7"/>
        <v>Average</v>
      </c>
      <c r="Q125" t="str">
        <f t="shared" si="8"/>
        <v>Bad</v>
      </c>
      <c r="R125" t="str">
        <f t="shared" si="9"/>
        <v>High</v>
      </c>
    </row>
    <row r="126" spans="1:18" x14ac:dyDescent="0.45">
      <c r="A126">
        <v>125</v>
      </c>
      <c r="B126">
        <v>20</v>
      </c>
      <c r="C126" t="s">
        <v>19</v>
      </c>
      <c r="D126" t="s">
        <v>14</v>
      </c>
      <c r="E126" t="s">
        <v>136</v>
      </c>
      <c r="F126">
        <v>4.5</v>
      </c>
      <c r="G126" t="s">
        <v>32</v>
      </c>
      <c r="H126" t="s">
        <v>23</v>
      </c>
      <c r="I126">
        <v>7.5</v>
      </c>
      <c r="J126">
        <v>7</v>
      </c>
      <c r="K126" t="s">
        <v>24</v>
      </c>
      <c r="L126">
        <v>2</v>
      </c>
      <c r="M126">
        <v>5</v>
      </c>
      <c r="N126" t="str">
        <f t="shared" si="5"/>
        <v>Medium</v>
      </c>
      <c r="O126" t="str">
        <f t="shared" si="6"/>
        <v>Average</v>
      </c>
      <c r="P126" t="str">
        <f t="shared" si="7"/>
        <v>High</v>
      </c>
      <c r="Q126" t="str">
        <f t="shared" si="8"/>
        <v>Bad</v>
      </c>
      <c r="R126" t="str">
        <f t="shared" si="9"/>
        <v>Medium</v>
      </c>
    </row>
    <row r="127" spans="1:18" x14ac:dyDescent="0.45">
      <c r="A127">
        <v>126</v>
      </c>
      <c r="B127">
        <v>21</v>
      </c>
      <c r="C127" t="s">
        <v>13</v>
      </c>
      <c r="D127" t="s">
        <v>20</v>
      </c>
      <c r="E127" t="s">
        <v>135</v>
      </c>
      <c r="F127">
        <v>5.2</v>
      </c>
      <c r="G127" t="s">
        <v>16</v>
      </c>
      <c r="H127" t="s">
        <v>17</v>
      </c>
      <c r="I127">
        <v>6.4</v>
      </c>
      <c r="J127">
        <v>5</v>
      </c>
      <c r="K127" t="s">
        <v>18</v>
      </c>
      <c r="L127">
        <v>4</v>
      </c>
      <c r="M127">
        <v>8</v>
      </c>
      <c r="N127" t="str">
        <f t="shared" si="5"/>
        <v>Medium</v>
      </c>
      <c r="O127" t="str">
        <f t="shared" si="6"/>
        <v>High</v>
      </c>
      <c r="P127" t="str">
        <f t="shared" si="7"/>
        <v>Average</v>
      </c>
      <c r="Q127" t="str">
        <f t="shared" si="8"/>
        <v>Bad</v>
      </c>
      <c r="R127" t="str">
        <f t="shared" si="9"/>
        <v>High</v>
      </c>
    </row>
    <row r="128" spans="1:18" x14ac:dyDescent="0.45">
      <c r="A128">
        <v>127</v>
      </c>
      <c r="B128">
        <v>19</v>
      </c>
      <c r="C128" t="s">
        <v>19</v>
      </c>
      <c r="D128" t="s">
        <v>14</v>
      </c>
      <c r="E128" t="s">
        <v>138</v>
      </c>
      <c r="F128">
        <v>5.7</v>
      </c>
      <c r="G128" t="s">
        <v>26</v>
      </c>
      <c r="H128" t="s">
        <v>17</v>
      </c>
      <c r="I128">
        <v>5.7</v>
      </c>
      <c r="J128">
        <v>6</v>
      </c>
      <c r="K128" t="s">
        <v>24</v>
      </c>
      <c r="L128">
        <v>3</v>
      </c>
      <c r="M128">
        <v>7</v>
      </c>
      <c r="N128" t="str">
        <f t="shared" si="5"/>
        <v>Medium</v>
      </c>
      <c r="O128" t="str">
        <f t="shared" si="6"/>
        <v>Average</v>
      </c>
      <c r="P128" t="str">
        <f t="shared" si="7"/>
        <v>Average</v>
      </c>
      <c r="Q128" t="str">
        <f t="shared" si="8"/>
        <v>Bad</v>
      </c>
      <c r="R128" t="str">
        <f t="shared" si="9"/>
        <v>High</v>
      </c>
    </row>
    <row r="129" spans="1:18" x14ac:dyDescent="0.45">
      <c r="A129">
        <v>128</v>
      </c>
      <c r="B129">
        <v>20</v>
      </c>
      <c r="C129" t="s">
        <v>13</v>
      </c>
      <c r="D129" t="s">
        <v>14</v>
      </c>
      <c r="E129" t="s">
        <v>139</v>
      </c>
      <c r="F129">
        <v>4.4000000000000004</v>
      </c>
      <c r="G129" t="s">
        <v>16</v>
      </c>
      <c r="H129" t="s">
        <v>23</v>
      </c>
      <c r="I129">
        <v>7.6</v>
      </c>
      <c r="J129">
        <v>8</v>
      </c>
      <c r="K129" t="s">
        <v>18</v>
      </c>
      <c r="L129">
        <v>2</v>
      </c>
      <c r="M129">
        <v>5</v>
      </c>
      <c r="N129" t="str">
        <f t="shared" si="5"/>
        <v>Medium</v>
      </c>
      <c r="O129" t="str">
        <f t="shared" si="6"/>
        <v>Average</v>
      </c>
      <c r="P129" t="str">
        <f t="shared" si="7"/>
        <v>High</v>
      </c>
      <c r="Q129" t="str">
        <f t="shared" si="8"/>
        <v>Good</v>
      </c>
      <c r="R129" t="str">
        <f t="shared" si="9"/>
        <v>Medium</v>
      </c>
    </row>
    <row r="130" spans="1:18" x14ac:dyDescent="0.45">
      <c r="A130">
        <v>129</v>
      </c>
      <c r="B130">
        <v>22</v>
      </c>
      <c r="C130" t="s">
        <v>19</v>
      </c>
      <c r="D130" t="s">
        <v>20</v>
      </c>
      <c r="E130" t="s">
        <v>15</v>
      </c>
      <c r="F130">
        <v>5.0999999999999996</v>
      </c>
      <c r="G130" t="s">
        <v>32</v>
      </c>
      <c r="H130" t="s">
        <v>17</v>
      </c>
      <c r="I130">
        <v>6.5</v>
      </c>
      <c r="J130">
        <v>5</v>
      </c>
      <c r="K130" t="s">
        <v>24</v>
      </c>
      <c r="L130">
        <v>4</v>
      </c>
      <c r="M130">
        <v>8</v>
      </c>
      <c r="N130" t="str">
        <f t="shared" si="5"/>
        <v>Medium</v>
      </c>
      <c r="O130" t="str">
        <f t="shared" si="6"/>
        <v>High</v>
      </c>
      <c r="P130" t="str">
        <f t="shared" si="7"/>
        <v>Average</v>
      </c>
      <c r="Q130" t="str">
        <f t="shared" si="8"/>
        <v>Bad</v>
      </c>
      <c r="R130" t="str">
        <f t="shared" si="9"/>
        <v>High</v>
      </c>
    </row>
    <row r="131" spans="1:18" x14ac:dyDescent="0.45">
      <c r="A131">
        <v>130</v>
      </c>
      <c r="B131">
        <v>21</v>
      </c>
      <c r="C131" t="s">
        <v>13</v>
      </c>
      <c r="D131" t="s">
        <v>20</v>
      </c>
      <c r="E131" t="s">
        <v>21</v>
      </c>
      <c r="F131">
        <v>5.6</v>
      </c>
      <c r="G131" t="s">
        <v>16</v>
      </c>
      <c r="H131" t="s">
        <v>17</v>
      </c>
      <c r="I131">
        <v>5.6</v>
      </c>
      <c r="J131">
        <v>6</v>
      </c>
      <c r="K131" t="s">
        <v>18</v>
      </c>
      <c r="L131">
        <v>3</v>
      </c>
      <c r="M131">
        <v>7</v>
      </c>
      <c r="N131" t="str">
        <f t="shared" ref="N131:N194" si="10">IF(AND(F131&gt;=1.5,F131&lt;=3.5),"Low",IF(AND(F131&gt;3.5,F131&lt;=6.5),"Medium","High"))</f>
        <v>Medium</v>
      </c>
      <c r="O131" t="str">
        <f t="shared" ref="O131:O194" si="11">IF(AND(I145&gt;=3.8,I145&lt;=5),"Less",IF(AND(I145&gt;5,I145&lt;=7),"Average","High"))</f>
        <v>Average</v>
      </c>
      <c r="P131" t="str">
        <f t="shared" ref="P131:P194" si="12">IF(AND(I131&gt;=3.8,I131&lt;=5),"Less",IF(AND(I131&gt;5,I131&lt;=7),"Average","High"))</f>
        <v>Average</v>
      </c>
      <c r="Q131" t="str">
        <f t="shared" si="8"/>
        <v>Bad</v>
      </c>
      <c r="R131" t="str">
        <f t="shared" si="9"/>
        <v>High</v>
      </c>
    </row>
    <row r="132" spans="1:18" x14ac:dyDescent="0.45">
      <c r="A132">
        <v>131</v>
      </c>
      <c r="B132">
        <v>19</v>
      </c>
      <c r="C132" t="s">
        <v>19</v>
      </c>
      <c r="D132" t="s">
        <v>14</v>
      </c>
      <c r="E132" t="s">
        <v>136</v>
      </c>
      <c r="F132">
        <v>4.3</v>
      </c>
      <c r="G132" t="s">
        <v>26</v>
      </c>
      <c r="H132" t="s">
        <v>23</v>
      </c>
      <c r="I132">
        <v>7.7</v>
      </c>
      <c r="J132">
        <v>7</v>
      </c>
      <c r="K132" t="s">
        <v>24</v>
      </c>
      <c r="L132">
        <v>2</v>
      </c>
      <c r="M132">
        <v>5</v>
      </c>
      <c r="N132" t="str">
        <f t="shared" si="10"/>
        <v>Medium</v>
      </c>
      <c r="O132" t="str">
        <f t="shared" si="11"/>
        <v>Average</v>
      </c>
      <c r="P132" t="str">
        <f t="shared" si="12"/>
        <v>High</v>
      </c>
      <c r="Q132" t="str">
        <f t="shared" si="8"/>
        <v>Bad</v>
      </c>
      <c r="R132" t="str">
        <f t="shared" si="9"/>
        <v>Medium</v>
      </c>
    </row>
    <row r="133" spans="1:18" x14ac:dyDescent="0.45">
      <c r="A133">
        <v>132</v>
      </c>
      <c r="B133">
        <v>20</v>
      </c>
      <c r="C133" t="s">
        <v>13</v>
      </c>
      <c r="D133" t="s">
        <v>14</v>
      </c>
      <c r="E133" t="s">
        <v>135</v>
      </c>
      <c r="F133">
        <v>5</v>
      </c>
      <c r="G133" t="s">
        <v>16</v>
      </c>
      <c r="H133" t="s">
        <v>17</v>
      </c>
      <c r="I133">
        <v>6.6</v>
      </c>
      <c r="J133">
        <v>5</v>
      </c>
      <c r="K133" t="s">
        <v>18</v>
      </c>
      <c r="L133">
        <v>4</v>
      </c>
      <c r="M133">
        <v>8</v>
      </c>
      <c r="N133" t="str">
        <f t="shared" si="10"/>
        <v>Medium</v>
      </c>
      <c r="O133" t="str">
        <f t="shared" si="11"/>
        <v>High</v>
      </c>
      <c r="P133" t="str">
        <f t="shared" si="12"/>
        <v>Average</v>
      </c>
      <c r="Q133" t="str">
        <f t="shared" si="8"/>
        <v>Bad</v>
      </c>
      <c r="R133" t="str">
        <f t="shared" si="9"/>
        <v>High</v>
      </c>
    </row>
    <row r="134" spans="1:18" x14ac:dyDescent="0.45">
      <c r="A134">
        <v>133</v>
      </c>
      <c r="B134">
        <v>22</v>
      </c>
      <c r="C134" t="s">
        <v>19</v>
      </c>
      <c r="D134" t="s">
        <v>20</v>
      </c>
      <c r="E134" t="s">
        <v>138</v>
      </c>
      <c r="F134">
        <v>5.5</v>
      </c>
      <c r="G134" t="s">
        <v>32</v>
      </c>
      <c r="H134" t="s">
        <v>17</v>
      </c>
      <c r="I134">
        <v>5.5</v>
      </c>
      <c r="J134">
        <v>6</v>
      </c>
      <c r="K134" t="s">
        <v>24</v>
      </c>
      <c r="L134">
        <v>3</v>
      </c>
      <c r="M134">
        <v>7</v>
      </c>
      <c r="N134" t="str">
        <f t="shared" si="10"/>
        <v>Medium</v>
      </c>
      <c r="O134" t="str">
        <f t="shared" si="11"/>
        <v>High</v>
      </c>
      <c r="P134" t="str">
        <f t="shared" si="12"/>
        <v>Average</v>
      </c>
      <c r="Q134" t="str">
        <f t="shared" ref="Q134:Q197" si="13">IF(AND(J134&gt;=0,J134&lt;=4),"Worst",IF(AND(J134&gt;4,J134&lt;=7),"Bad","Good"))</f>
        <v>Bad</v>
      </c>
      <c r="R134" t="str">
        <f t="shared" ref="R134:R197" si="14">IF(AND(M134&gt;0,M134&lt;=3),"Less",IF(AND(M134&gt;3,M134&lt;=6),"Medium","High"))</f>
        <v>High</v>
      </c>
    </row>
    <row r="135" spans="1:18" x14ac:dyDescent="0.45">
      <c r="A135">
        <v>134</v>
      </c>
      <c r="B135">
        <v>21</v>
      </c>
      <c r="C135" t="s">
        <v>13</v>
      </c>
      <c r="D135" t="s">
        <v>20</v>
      </c>
      <c r="E135" t="s">
        <v>139</v>
      </c>
      <c r="F135">
        <v>4.2</v>
      </c>
      <c r="G135" t="s">
        <v>16</v>
      </c>
      <c r="H135" t="s">
        <v>23</v>
      </c>
      <c r="I135">
        <v>7.8</v>
      </c>
      <c r="J135">
        <v>8</v>
      </c>
      <c r="K135" t="s">
        <v>18</v>
      </c>
      <c r="L135">
        <v>2</v>
      </c>
      <c r="M135">
        <v>5</v>
      </c>
      <c r="N135" t="str">
        <f t="shared" si="10"/>
        <v>Medium</v>
      </c>
      <c r="O135" t="str">
        <f t="shared" si="11"/>
        <v>Less</v>
      </c>
      <c r="P135" t="str">
        <f t="shared" si="12"/>
        <v>High</v>
      </c>
      <c r="Q135" t="str">
        <f t="shared" si="13"/>
        <v>Good</v>
      </c>
      <c r="R135" t="str">
        <f t="shared" si="14"/>
        <v>Medium</v>
      </c>
    </row>
    <row r="136" spans="1:18" x14ac:dyDescent="0.45">
      <c r="A136">
        <v>135</v>
      </c>
      <c r="B136">
        <v>19</v>
      </c>
      <c r="C136" t="s">
        <v>19</v>
      </c>
      <c r="D136" t="s">
        <v>14</v>
      </c>
      <c r="E136" t="s">
        <v>15</v>
      </c>
      <c r="F136">
        <v>4.9000000000000004</v>
      </c>
      <c r="G136" t="s">
        <v>26</v>
      </c>
      <c r="H136" t="s">
        <v>17</v>
      </c>
      <c r="I136">
        <v>6.7</v>
      </c>
      <c r="J136">
        <v>5</v>
      </c>
      <c r="K136" t="s">
        <v>24</v>
      </c>
      <c r="L136">
        <v>4</v>
      </c>
      <c r="M136">
        <v>8</v>
      </c>
      <c r="N136" t="str">
        <f t="shared" si="10"/>
        <v>Medium</v>
      </c>
      <c r="O136" t="str">
        <f t="shared" si="11"/>
        <v>High</v>
      </c>
      <c r="P136" t="str">
        <f t="shared" si="12"/>
        <v>Average</v>
      </c>
      <c r="Q136" t="str">
        <f t="shared" si="13"/>
        <v>Bad</v>
      </c>
      <c r="R136" t="str">
        <f t="shared" si="14"/>
        <v>High</v>
      </c>
    </row>
    <row r="137" spans="1:18" x14ac:dyDescent="0.45">
      <c r="A137">
        <v>136</v>
      </c>
      <c r="B137">
        <v>20</v>
      </c>
      <c r="C137" t="s">
        <v>13</v>
      </c>
      <c r="D137" t="s">
        <v>14</v>
      </c>
      <c r="E137" t="s">
        <v>21</v>
      </c>
      <c r="F137">
        <v>5.4</v>
      </c>
      <c r="G137" t="s">
        <v>16</v>
      </c>
      <c r="H137" t="s">
        <v>17</v>
      </c>
      <c r="I137">
        <v>5.4</v>
      </c>
      <c r="J137">
        <v>6</v>
      </c>
      <c r="K137" t="s">
        <v>18</v>
      </c>
      <c r="L137">
        <v>3</v>
      </c>
      <c r="M137">
        <v>7</v>
      </c>
      <c r="N137" t="str">
        <f t="shared" si="10"/>
        <v>Medium</v>
      </c>
      <c r="O137" t="str">
        <f t="shared" si="11"/>
        <v>High</v>
      </c>
      <c r="P137" t="str">
        <f t="shared" si="12"/>
        <v>Average</v>
      </c>
      <c r="Q137" t="str">
        <f t="shared" si="13"/>
        <v>Bad</v>
      </c>
      <c r="R137" t="str">
        <f t="shared" si="14"/>
        <v>High</v>
      </c>
    </row>
    <row r="138" spans="1:18" x14ac:dyDescent="0.45">
      <c r="A138">
        <v>137</v>
      </c>
      <c r="B138">
        <v>22</v>
      </c>
      <c r="C138" t="s">
        <v>19</v>
      </c>
      <c r="D138" t="s">
        <v>20</v>
      </c>
      <c r="E138" t="s">
        <v>136</v>
      </c>
      <c r="F138">
        <v>4.0999999999999996</v>
      </c>
      <c r="G138" t="s">
        <v>32</v>
      </c>
      <c r="H138" t="s">
        <v>23</v>
      </c>
      <c r="I138">
        <v>7.9</v>
      </c>
      <c r="J138">
        <v>7</v>
      </c>
      <c r="K138" t="s">
        <v>24</v>
      </c>
      <c r="L138">
        <v>2</v>
      </c>
      <c r="M138">
        <v>5</v>
      </c>
      <c r="N138" t="str">
        <f t="shared" si="10"/>
        <v>Medium</v>
      </c>
      <c r="O138" t="str">
        <f t="shared" si="11"/>
        <v>Less</v>
      </c>
      <c r="P138" t="str">
        <f t="shared" si="12"/>
        <v>High</v>
      </c>
      <c r="Q138" t="str">
        <f t="shared" si="13"/>
        <v>Bad</v>
      </c>
      <c r="R138" t="str">
        <f t="shared" si="14"/>
        <v>Medium</v>
      </c>
    </row>
    <row r="139" spans="1:18" x14ac:dyDescent="0.45">
      <c r="A139">
        <v>138</v>
      </c>
      <c r="B139">
        <v>21</v>
      </c>
      <c r="C139" t="s">
        <v>13</v>
      </c>
      <c r="D139" t="s">
        <v>20</v>
      </c>
      <c r="E139" t="s">
        <v>135</v>
      </c>
      <c r="F139">
        <v>4.8</v>
      </c>
      <c r="G139" t="s">
        <v>16</v>
      </c>
      <c r="H139" t="s">
        <v>17</v>
      </c>
      <c r="I139">
        <v>6.8</v>
      </c>
      <c r="J139">
        <v>5</v>
      </c>
      <c r="K139" t="s">
        <v>18</v>
      </c>
      <c r="L139">
        <v>4</v>
      </c>
      <c r="M139">
        <v>8</v>
      </c>
      <c r="N139" t="str">
        <f t="shared" si="10"/>
        <v>Medium</v>
      </c>
      <c r="O139" t="str">
        <f t="shared" si="11"/>
        <v>High</v>
      </c>
      <c r="P139" t="str">
        <f t="shared" si="12"/>
        <v>Average</v>
      </c>
      <c r="Q139" t="str">
        <f t="shared" si="13"/>
        <v>Bad</v>
      </c>
      <c r="R139" t="str">
        <f t="shared" si="14"/>
        <v>High</v>
      </c>
    </row>
    <row r="140" spans="1:18" x14ac:dyDescent="0.45">
      <c r="A140">
        <v>139</v>
      </c>
      <c r="B140">
        <v>19</v>
      </c>
      <c r="C140" t="s">
        <v>19</v>
      </c>
      <c r="D140" t="s">
        <v>14</v>
      </c>
      <c r="E140" t="s">
        <v>138</v>
      </c>
      <c r="F140">
        <v>5.3</v>
      </c>
      <c r="G140" t="s">
        <v>26</v>
      </c>
      <c r="H140" t="s">
        <v>17</v>
      </c>
      <c r="I140">
        <v>5.3</v>
      </c>
      <c r="J140">
        <v>6</v>
      </c>
      <c r="K140" t="s">
        <v>24</v>
      </c>
      <c r="L140">
        <v>3</v>
      </c>
      <c r="M140">
        <v>7</v>
      </c>
      <c r="N140" t="str">
        <f t="shared" si="10"/>
        <v>Medium</v>
      </c>
      <c r="O140" t="str">
        <f t="shared" si="11"/>
        <v>High</v>
      </c>
      <c r="P140" t="str">
        <f t="shared" si="12"/>
        <v>Average</v>
      </c>
      <c r="Q140" t="str">
        <f t="shared" si="13"/>
        <v>Bad</v>
      </c>
      <c r="R140" t="str">
        <f t="shared" si="14"/>
        <v>High</v>
      </c>
    </row>
    <row r="141" spans="1:18" x14ac:dyDescent="0.45">
      <c r="A141">
        <v>140</v>
      </c>
      <c r="B141">
        <v>20</v>
      </c>
      <c r="C141" t="s">
        <v>13</v>
      </c>
      <c r="D141" t="s">
        <v>14</v>
      </c>
      <c r="E141" t="s">
        <v>139</v>
      </c>
      <c r="F141">
        <v>4</v>
      </c>
      <c r="G141" t="s">
        <v>16</v>
      </c>
      <c r="H141" t="s">
        <v>23</v>
      </c>
      <c r="I141">
        <v>8</v>
      </c>
      <c r="J141">
        <v>8</v>
      </c>
      <c r="K141" t="s">
        <v>18</v>
      </c>
      <c r="L141">
        <v>2</v>
      </c>
      <c r="M141">
        <v>5</v>
      </c>
      <c r="N141" t="str">
        <f t="shared" si="10"/>
        <v>Medium</v>
      </c>
      <c r="O141" t="str">
        <f t="shared" si="11"/>
        <v>Less</v>
      </c>
      <c r="P141" t="str">
        <f t="shared" si="12"/>
        <v>High</v>
      </c>
      <c r="Q141" t="str">
        <f t="shared" si="13"/>
        <v>Good</v>
      </c>
      <c r="R141" t="str">
        <f t="shared" si="14"/>
        <v>Medium</v>
      </c>
    </row>
    <row r="142" spans="1:18" x14ac:dyDescent="0.45">
      <c r="A142">
        <v>141</v>
      </c>
      <c r="B142">
        <v>22</v>
      </c>
      <c r="C142" t="s">
        <v>19</v>
      </c>
      <c r="D142" t="s">
        <v>20</v>
      </c>
      <c r="E142" t="s">
        <v>15</v>
      </c>
      <c r="F142">
        <v>4.7</v>
      </c>
      <c r="G142" t="s">
        <v>32</v>
      </c>
      <c r="H142" t="s">
        <v>17</v>
      </c>
      <c r="I142">
        <v>6.9</v>
      </c>
      <c r="J142">
        <v>5</v>
      </c>
      <c r="K142" t="s">
        <v>24</v>
      </c>
      <c r="L142">
        <v>4</v>
      </c>
      <c r="M142">
        <v>8</v>
      </c>
      <c r="N142" t="str">
        <f t="shared" si="10"/>
        <v>Medium</v>
      </c>
      <c r="O142" t="str">
        <f t="shared" si="11"/>
        <v>High</v>
      </c>
      <c r="P142" t="str">
        <f t="shared" si="12"/>
        <v>Average</v>
      </c>
      <c r="Q142" t="str">
        <f t="shared" si="13"/>
        <v>Bad</v>
      </c>
      <c r="R142" t="str">
        <f t="shared" si="14"/>
        <v>High</v>
      </c>
    </row>
    <row r="143" spans="1:18" x14ac:dyDescent="0.45">
      <c r="A143">
        <v>142</v>
      </c>
      <c r="B143">
        <v>21</v>
      </c>
      <c r="C143" t="s">
        <v>13</v>
      </c>
      <c r="D143" t="s">
        <v>20</v>
      </c>
      <c r="E143" t="s">
        <v>21</v>
      </c>
      <c r="F143">
        <v>5.2</v>
      </c>
      <c r="G143" t="s">
        <v>16</v>
      </c>
      <c r="H143" t="s">
        <v>17</v>
      </c>
      <c r="I143">
        <v>5.2</v>
      </c>
      <c r="J143">
        <v>6</v>
      </c>
      <c r="K143" t="s">
        <v>18</v>
      </c>
      <c r="L143">
        <v>3</v>
      </c>
      <c r="M143">
        <v>7</v>
      </c>
      <c r="N143" t="str">
        <f t="shared" si="10"/>
        <v>Medium</v>
      </c>
      <c r="O143" t="str">
        <f t="shared" si="11"/>
        <v>High</v>
      </c>
      <c r="P143" t="str">
        <f t="shared" si="12"/>
        <v>Average</v>
      </c>
      <c r="Q143" t="str">
        <f t="shared" si="13"/>
        <v>Bad</v>
      </c>
      <c r="R143" t="str">
        <f t="shared" si="14"/>
        <v>High</v>
      </c>
    </row>
    <row r="144" spans="1:18" x14ac:dyDescent="0.45">
      <c r="A144">
        <v>143</v>
      </c>
      <c r="B144">
        <v>19</v>
      </c>
      <c r="C144" t="s">
        <v>19</v>
      </c>
      <c r="D144" t="s">
        <v>14</v>
      </c>
      <c r="E144" t="s">
        <v>136</v>
      </c>
      <c r="F144">
        <v>3.9</v>
      </c>
      <c r="G144" t="s">
        <v>26</v>
      </c>
      <c r="H144" t="s">
        <v>23</v>
      </c>
      <c r="I144">
        <v>8.1</v>
      </c>
      <c r="J144">
        <v>7</v>
      </c>
      <c r="K144" t="s">
        <v>24</v>
      </c>
      <c r="L144">
        <v>2</v>
      </c>
      <c r="M144">
        <v>5</v>
      </c>
      <c r="N144" t="str">
        <f t="shared" si="10"/>
        <v>Medium</v>
      </c>
      <c r="O144" t="str">
        <f t="shared" si="11"/>
        <v>Less</v>
      </c>
      <c r="P144" t="str">
        <f t="shared" si="12"/>
        <v>High</v>
      </c>
      <c r="Q144" t="str">
        <f t="shared" si="13"/>
        <v>Bad</v>
      </c>
      <c r="R144" t="str">
        <f t="shared" si="14"/>
        <v>Medium</v>
      </c>
    </row>
    <row r="145" spans="1:18" x14ac:dyDescent="0.45">
      <c r="A145">
        <v>144</v>
      </c>
      <c r="B145">
        <v>20</v>
      </c>
      <c r="C145" t="s">
        <v>13</v>
      </c>
      <c r="D145" t="s">
        <v>14</v>
      </c>
      <c r="E145" t="s">
        <v>135</v>
      </c>
      <c r="F145">
        <v>4.5999999999999996</v>
      </c>
      <c r="G145" t="s">
        <v>16</v>
      </c>
      <c r="H145" t="s">
        <v>17</v>
      </c>
      <c r="I145">
        <v>7</v>
      </c>
      <c r="J145">
        <v>5</v>
      </c>
      <c r="K145" t="s">
        <v>18</v>
      </c>
      <c r="L145">
        <v>4</v>
      </c>
      <c r="M145">
        <v>8</v>
      </c>
      <c r="N145" t="str">
        <f t="shared" si="10"/>
        <v>Medium</v>
      </c>
      <c r="O145" t="str">
        <f t="shared" si="11"/>
        <v>High</v>
      </c>
      <c r="P145" t="str">
        <f t="shared" si="12"/>
        <v>Average</v>
      </c>
      <c r="Q145" t="str">
        <f t="shared" si="13"/>
        <v>Bad</v>
      </c>
      <c r="R145" t="str">
        <f t="shared" si="14"/>
        <v>High</v>
      </c>
    </row>
    <row r="146" spans="1:18" x14ac:dyDescent="0.45">
      <c r="A146">
        <v>145</v>
      </c>
      <c r="B146">
        <v>22</v>
      </c>
      <c r="C146" t="s">
        <v>19</v>
      </c>
      <c r="D146" t="s">
        <v>20</v>
      </c>
      <c r="E146" t="s">
        <v>138</v>
      </c>
      <c r="F146">
        <v>5.0999999999999996</v>
      </c>
      <c r="G146" t="s">
        <v>32</v>
      </c>
      <c r="H146" t="s">
        <v>17</v>
      </c>
      <c r="I146">
        <v>5.0999999999999996</v>
      </c>
      <c r="J146">
        <v>6</v>
      </c>
      <c r="K146" t="s">
        <v>24</v>
      </c>
      <c r="L146">
        <v>3</v>
      </c>
      <c r="M146">
        <v>7</v>
      </c>
      <c r="N146" t="str">
        <f t="shared" si="10"/>
        <v>Medium</v>
      </c>
      <c r="O146" t="str">
        <f t="shared" si="11"/>
        <v>High</v>
      </c>
      <c r="P146" t="str">
        <f t="shared" si="12"/>
        <v>Average</v>
      </c>
      <c r="Q146" t="str">
        <f t="shared" si="13"/>
        <v>Bad</v>
      </c>
      <c r="R146" t="str">
        <f t="shared" si="14"/>
        <v>High</v>
      </c>
    </row>
    <row r="147" spans="1:18" x14ac:dyDescent="0.45">
      <c r="A147">
        <v>146</v>
      </c>
      <c r="B147">
        <v>21</v>
      </c>
      <c r="C147" t="s">
        <v>13</v>
      </c>
      <c r="D147" t="s">
        <v>20</v>
      </c>
      <c r="E147" t="s">
        <v>139</v>
      </c>
      <c r="F147">
        <v>3.8</v>
      </c>
      <c r="G147" t="s">
        <v>16</v>
      </c>
      <c r="H147" t="s">
        <v>23</v>
      </c>
      <c r="I147">
        <v>8.1999999999999993</v>
      </c>
      <c r="J147">
        <v>8</v>
      </c>
      <c r="K147" t="s">
        <v>18</v>
      </c>
      <c r="L147">
        <v>2</v>
      </c>
      <c r="M147">
        <v>5</v>
      </c>
      <c r="N147" t="str">
        <f t="shared" si="10"/>
        <v>Medium</v>
      </c>
      <c r="O147" t="str">
        <f t="shared" si="11"/>
        <v>Less</v>
      </c>
      <c r="P147" t="str">
        <f t="shared" si="12"/>
        <v>High</v>
      </c>
      <c r="Q147" t="str">
        <f t="shared" si="13"/>
        <v>Good</v>
      </c>
      <c r="R147" t="str">
        <f t="shared" si="14"/>
        <v>Medium</v>
      </c>
    </row>
    <row r="148" spans="1:18" x14ac:dyDescent="0.45">
      <c r="A148">
        <v>147</v>
      </c>
      <c r="B148">
        <v>19</v>
      </c>
      <c r="C148" t="s">
        <v>19</v>
      </c>
      <c r="D148" t="s">
        <v>14</v>
      </c>
      <c r="E148" t="s">
        <v>15</v>
      </c>
      <c r="F148">
        <v>4.5</v>
      </c>
      <c r="G148" t="s">
        <v>26</v>
      </c>
      <c r="H148" t="s">
        <v>17</v>
      </c>
      <c r="I148">
        <v>7.1</v>
      </c>
      <c r="J148">
        <v>5</v>
      </c>
      <c r="K148" t="s">
        <v>24</v>
      </c>
      <c r="L148">
        <v>4</v>
      </c>
      <c r="M148">
        <v>8</v>
      </c>
      <c r="N148" t="str">
        <f t="shared" si="10"/>
        <v>Medium</v>
      </c>
      <c r="O148" t="str">
        <f t="shared" si="11"/>
        <v>Average</v>
      </c>
      <c r="P148" t="str">
        <f t="shared" si="12"/>
        <v>High</v>
      </c>
      <c r="Q148" t="str">
        <f t="shared" si="13"/>
        <v>Bad</v>
      </c>
      <c r="R148" t="str">
        <f t="shared" si="14"/>
        <v>High</v>
      </c>
    </row>
    <row r="149" spans="1:18" x14ac:dyDescent="0.45">
      <c r="A149">
        <v>148</v>
      </c>
      <c r="B149">
        <v>20</v>
      </c>
      <c r="C149" t="s">
        <v>13</v>
      </c>
      <c r="D149" t="s">
        <v>14</v>
      </c>
      <c r="E149" t="s">
        <v>21</v>
      </c>
      <c r="F149">
        <v>5</v>
      </c>
      <c r="G149" t="s">
        <v>16</v>
      </c>
      <c r="H149" t="s">
        <v>17</v>
      </c>
      <c r="I149">
        <v>5</v>
      </c>
      <c r="J149">
        <v>6</v>
      </c>
      <c r="K149" t="s">
        <v>18</v>
      </c>
      <c r="L149">
        <v>3</v>
      </c>
      <c r="M149">
        <v>7</v>
      </c>
      <c r="N149" t="str">
        <f t="shared" si="10"/>
        <v>Medium</v>
      </c>
      <c r="O149" t="str">
        <f t="shared" si="11"/>
        <v>High</v>
      </c>
      <c r="P149" t="str">
        <f t="shared" si="12"/>
        <v>Less</v>
      </c>
      <c r="Q149" t="str">
        <f t="shared" si="13"/>
        <v>Bad</v>
      </c>
      <c r="R149" t="str">
        <f t="shared" si="14"/>
        <v>High</v>
      </c>
    </row>
    <row r="150" spans="1:18" x14ac:dyDescent="0.45">
      <c r="A150">
        <v>149</v>
      </c>
      <c r="B150">
        <v>22</v>
      </c>
      <c r="C150" t="s">
        <v>19</v>
      </c>
      <c r="D150" t="s">
        <v>20</v>
      </c>
      <c r="E150" t="s">
        <v>136</v>
      </c>
      <c r="F150">
        <v>3.7</v>
      </c>
      <c r="G150" t="s">
        <v>32</v>
      </c>
      <c r="H150" t="s">
        <v>23</v>
      </c>
      <c r="I150">
        <v>8.3000000000000007</v>
      </c>
      <c r="J150">
        <v>7</v>
      </c>
      <c r="K150" t="s">
        <v>24</v>
      </c>
      <c r="L150">
        <v>2</v>
      </c>
      <c r="M150">
        <v>5</v>
      </c>
      <c r="N150" t="str">
        <f t="shared" si="10"/>
        <v>Medium</v>
      </c>
      <c r="O150" t="str">
        <f t="shared" si="11"/>
        <v>Average</v>
      </c>
      <c r="P150" t="str">
        <f t="shared" si="12"/>
        <v>High</v>
      </c>
      <c r="Q150" t="str">
        <f t="shared" si="13"/>
        <v>Bad</v>
      </c>
      <c r="R150" t="str">
        <f t="shared" si="14"/>
        <v>Medium</v>
      </c>
    </row>
    <row r="151" spans="1:18" x14ac:dyDescent="0.45">
      <c r="A151">
        <v>150</v>
      </c>
      <c r="B151">
        <v>21</v>
      </c>
      <c r="C151" t="s">
        <v>13</v>
      </c>
      <c r="D151" t="s">
        <v>20</v>
      </c>
      <c r="E151" t="s">
        <v>135</v>
      </c>
      <c r="F151">
        <v>4.4000000000000004</v>
      </c>
      <c r="G151" t="s">
        <v>16</v>
      </c>
      <c r="H151" t="s">
        <v>17</v>
      </c>
      <c r="I151">
        <v>7.2</v>
      </c>
      <c r="J151">
        <v>5</v>
      </c>
      <c r="K151" t="s">
        <v>18</v>
      </c>
      <c r="L151">
        <v>4</v>
      </c>
      <c r="M151">
        <v>8</v>
      </c>
      <c r="N151" t="str">
        <f t="shared" si="10"/>
        <v>Medium</v>
      </c>
      <c r="O151" t="str">
        <f t="shared" si="11"/>
        <v>Average</v>
      </c>
      <c r="P151" t="str">
        <f t="shared" si="12"/>
        <v>High</v>
      </c>
      <c r="Q151" t="str">
        <f t="shared" si="13"/>
        <v>Bad</v>
      </c>
      <c r="R151" t="str">
        <f t="shared" si="14"/>
        <v>High</v>
      </c>
    </row>
    <row r="152" spans="1:18" x14ac:dyDescent="0.45">
      <c r="A152">
        <v>151</v>
      </c>
      <c r="B152">
        <v>19</v>
      </c>
      <c r="C152" t="s">
        <v>19</v>
      </c>
      <c r="D152" t="s">
        <v>14</v>
      </c>
      <c r="E152" t="s">
        <v>138</v>
      </c>
      <c r="F152">
        <v>4.9000000000000004</v>
      </c>
      <c r="G152" t="s">
        <v>26</v>
      </c>
      <c r="H152" t="s">
        <v>17</v>
      </c>
      <c r="I152">
        <v>4.9000000000000004</v>
      </c>
      <c r="J152">
        <v>6</v>
      </c>
      <c r="K152" t="s">
        <v>24</v>
      </c>
      <c r="L152">
        <v>3</v>
      </c>
      <c r="M152">
        <v>7</v>
      </c>
      <c r="N152" t="str">
        <f t="shared" si="10"/>
        <v>Medium</v>
      </c>
      <c r="O152" t="str">
        <f t="shared" si="11"/>
        <v>Average</v>
      </c>
      <c r="P152" t="str">
        <f t="shared" si="12"/>
        <v>Less</v>
      </c>
      <c r="Q152" t="str">
        <f t="shared" si="13"/>
        <v>Bad</v>
      </c>
      <c r="R152" t="str">
        <f t="shared" si="14"/>
        <v>High</v>
      </c>
    </row>
    <row r="153" spans="1:18" x14ac:dyDescent="0.45">
      <c r="A153">
        <v>152</v>
      </c>
      <c r="B153">
        <v>20</v>
      </c>
      <c r="C153" t="s">
        <v>13</v>
      </c>
      <c r="D153" t="s">
        <v>14</v>
      </c>
      <c r="E153" t="s">
        <v>139</v>
      </c>
      <c r="F153">
        <v>3.6</v>
      </c>
      <c r="G153" t="s">
        <v>16</v>
      </c>
      <c r="H153" t="s">
        <v>23</v>
      </c>
      <c r="I153">
        <v>8.4</v>
      </c>
      <c r="J153">
        <v>8</v>
      </c>
      <c r="K153" t="s">
        <v>18</v>
      </c>
      <c r="L153">
        <v>2</v>
      </c>
      <c r="M153">
        <v>5</v>
      </c>
      <c r="N153" t="str">
        <f t="shared" si="10"/>
        <v>Medium</v>
      </c>
      <c r="O153" t="str">
        <f t="shared" si="11"/>
        <v>Average</v>
      </c>
      <c r="P153" t="str">
        <f t="shared" si="12"/>
        <v>High</v>
      </c>
      <c r="Q153" t="str">
        <f t="shared" si="13"/>
        <v>Good</v>
      </c>
      <c r="R153" t="str">
        <f t="shared" si="14"/>
        <v>Medium</v>
      </c>
    </row>
    <row r="154" spans="1:18" x14ac:dyDescent="0.45">
      <c r="A154">
        <v>153</v>
      </c>
      <c r="B154">
        <v>22</v>
      </c>
      <c r="C154" t="s">
        <v>19</v>
      </c>
      <c r="D154" t="s">
        <v>20</v>
      </c>
      <c r="E154" t="s">
        <v>15</v>
      </c>
      <c r="F154">
        <v>4.3</v>
      </c>
      <c r="G154" t="s">
        <v>32</v>
      </c>
      <c r="H154" t="s">
        <v>17</v>
      </c>
      <c r="I154">
        <v>7.3</v>
      </c>
      <c r="J154">
        <v>5</v>
      </c>
      <c r="K154" t="s">
        <v>24</v>
      </c>
      <c r="L154">
        <v>4</v>
      </c>
      <c r="M154">
        <v>8</v>
      </c>
      <c r="N154" t="str">
        <f t="shared" si="10"/>
        <v>Medium</v>
      </c>
      <c r="O154" t="str">
        <f t="shared" si="11"/>
        <v>Average</v>
      </c>
      <c r="P154" t="str">
        <f t="shared" si="12"/>
        <v>High</v>
      </c>
      <c r="Q154" t="str">
        <f t="shared" si="13"/>
        <v>Bad</v>
      </c>
      <c r="R154" t="str">
        <f t="shared" si="14"/>
        <v>High</v>
      </c>
    </row>
    <row r="155" spans="1:18" x14ac:dyDescent="0.45">
      <c r="A155">
        <v>154</v>
      </c>
      <c r="B155">
        <v>21</v>
      </c>
      <c r="C155" t="s">
        <v>13</v>
      </c>
      <c r="D155" t="s">
        <v>20</v>
      </c>
      <c r="E155" t="s">
        <v>21</v>
      </c>
      <c r="F155">
        <v>4.8</v>
      </c>
      <c r="G155" t="s">
        <v>16</v>
      </c>
      <c r="H155" t="s">
        <v>17</v>
      </c>
      <c r="I155">
        <v>4.8</v>
      </c>
      <c r="J155">
        <v>6</v>
      </c>
      <c r="K155" t="s">
        <v>18</v>
      </c>
      <c r="L155">
        <v>3</v>
      </c>
      <c r="M155">
        <v>7</v>
      </c>
      <c r="N155" t="str">
        <f t="shared" si="10"/>
        <v>Medium</v>
      </c>
      <c r="O155" t="str">
        <f t="shared" si="11"/>
        <v>High</v>
      </c>
      <c r="P155" t="str">
        <f t="shared" si="12"/>
        <v>Less</v>
      </c>
      <c r="Q155" t="str">
        <f t="shared" si="13"/>
        <v>Bad</v>
      </c>
      <c r="R155" t="str">
        <f t="shared" si="14"/>
        <v>High</v>
      </c>
    </row>
    <row r="156" spans="1:18" x14ac:dyDescent="0.45">
      <c r="A156">
        <v>155</v>
      </c>
      <c r="B156">
        <v>19</v>
      </c>
      <c r="C156" t="s">
        <v>19</v>
      </c>
      <c r="D156" t="s">
        <v>14</v>
      </c>
      <c r="E156" t="s">
        <v>136</v>
      </c>
      <c r="F156">
        <v>3.5</v>
      </c>
      <c r="G156" t="s">
        <v>26</v>
      </c>
      <c r="H156" t="s">
        <v>23</v>
      </c>
      <c r="I156">
        <v>8.5</v>
      </c>
      <c r="J156">
        <v>7</v>
      </c>
      <c r="K156" t="s">
        <v>24</v>
      </c>
      <c r="L156">
        <v>2</v>
      </c>
      <c r="M156">
        <v>5</v>
      </c>
      <c r="N156" t="str">
        <f t="shared" si="10"/>
        <v>Low</v>
      </c>
      <c r="O156" t="str">
        <f t="shared" si="11"/>
        <v>Average</v>
      </c>
      <c r="P156" t="str">
        <f t="shared" si="12"/>
        <v>High</v>
      </c>
      <c r="Q156" t="str">
        <f t="shared" si="13"/>
        <v>Bad</v>
      </c>
      <c r="R156" t="str">
        <f t="shared" si="14"/>
        <v>Medium</v>
      </c>
    </row>
    <row r="157" spans="1:18" x14ac:dyDescent="0.45">
      <c r="A157">
        <v>156</v>
      </c>
      <c r="B157">
        <v>20</v>
      </c>
      <c r="C157" t="s">
        <v>13</v>
      </c>
      <c r="D157" t="s">
        <v>14</v>
      </c>
      <c r="E157" t="s">
        <v>135</v>
      </c>
      <c r="F157">
        <v>4.2</v>
      </c>
      <c r="G157" t="s">
        <v>16</v>
      </c>
      <c r="H157" t="s">
        <v>17</v>
      </c>
      <c r="I157">
        <v>7.4</v>
      </c>
      <c r="J157">
        <v>5</v>
      </c>
      <c r="K157" t="s">
        <v>18</v>
      </c>
      <c r="L157">
        <v>4</v>
      </c>
      <c r="M157">
        <v>8</v>
      </c>
      <c r="N157" t="str">
        <f t="shared" si="10"/>
        <v>Medium</v>
      </c>
      <c r="O157" t="str">
        <f t="shared" si="11"/>
        <v>Average</v>
      </c>
      <c r="P157" t="str">
        <f t="shared" si="12"/>
        <v>High</v>
      </c>
      <c r="Q157" t="str">
        <f t="shared" si="13"/>
        <v>Bad</v>
      </c>
      <c r="R157" t="str">
        <f t="shared" si="14"/>
        <v>High</v>
      </c>
    </row>
    <row r="158" spans="1:18" x14ac:dyDescent="0.45">
      <c r="A158">
        <v>157</v>
      </c>
      <c r="B158">
        <v>22</v>
      </c>
      <c r="C158" t="s">
        <v>19</v>
      </c>
      <c r="D158" t="s">
        <v>20</v>
      </c>
      <c r="E158" t="s">
        <v>138</v>
      </c>
      <c r="F158">
        <v>4.7</v>
      </c>
      <c r="G158" t="s">
        <v>32</v>
      </c>
      <c r="H158" t="s">
        <v>17</v>
      </c>
      <c r="I158">
        <v>4.7</v>
      </c>
      <c r="J158">
        <v>6</v>
      </c>
      <c r="K158" t="s">
        <v>24</v>
      </c>
      <c r="L158">
        <v>3</v>
      </c>
      <c r="M158">
        <v>7</v>
      </c>
      <c r="N158" t="str">
        <f t="shared" si="10"/>
        <v>Medium</v>
      </c>
      <c r="O158" t="str">
        <f t="shared" si="11"/>
        <v>High</v>
      </c>
      <c r="P158" t="str">
        <f t="shared" si="12"/>
        <v>Less</v>
      </c>
      <c r="Q158" t="str">
        <f t="shared" si="13"/>
        <v>Bad</v>
      </c>
      <c r="R158" t="str">
        <f t="shared" si="14"/>
        <v>High</v>
      </c>
    </row>
    <row r="159" spans="1:18" x14ac:dyDescent="0.45">
      <c r="A159">
        <v>158</v>
      </c>
      <c r="B159">
        <v>21</v>
      </c>
      <c r="C159" t="s">
        <v>13</v>
      </c>
      <c r="D159" t="s">
        <v>20</v>
      </c>
      <c r="E159" t="s">
        <v>139</v>
      </c>
      <c r="F159">
        <v>3.4</v>
      </c>
      <c r="G159" t="s">
        <v>16</v>
      </c>
      <c r="H159" t="s">
        <v>23</v>
      </c>
      <c r="I159">
        <v>8.6</v>
      </c>
      <c r="J159">
        <v>8</v>
      </c>
      <c r="K159" t="s">
        <v>18</v>
      </c>
      <c r="L159">
        <v>2</v>
      </c>
      <c r="M159">
        <v>5</v>
      </c>
      <c r="N159" t="str">
        <f t="shared" si="10"/>
        <v>Low</v>
      </c>
      <c r="O159" t="str">
        <f t="shared" si="11"/>
        <v>Average</v>
      </c>
      <c r="P159" t="str">
        <f t="shared" si="12"/>
        <v>High</v>
      </c>
      <c r="Q159" t="str">
        <f t="shared" si="13"/>
        <v>Good</v>
      </c>
      <c r="R159" t="str">
        <f t="shared" si="14"/>
        <v>Medium</v>
      </c>
    </row>
    <row r="160" spans="1:18" x14ac:dyDescent="0.45">
      <c r="A160">
        <v>159</v>
      </c>
      <c r="B160">
        <v>19</v>
      </c>
      <c r="C160" t="s">
        <v>19</v>
      </c>
      <c r="D160" t="s">
        <v>14</v>
      </c>
      <c r="E160" t="s">
        <v>15</v>
      </c>
      <c r="F160">
        <v>4.0999999999999996</v>
      </c>
      <c r="G160" t="s">
        <v>26</v>
      </c>
      <c r="H160" t="s">
        <v>17</v>
      </c>
      <c r="I160">
        <v>7.5</v>
      </c>
      <c r="J160">
        <v>5</v>
      </c>
      <c r="K160" t="s">
        <v>24</v>
      </c>
      <c r="L160">
        <v>4</v>
      </c>
      <c r="M160">
        <v>8</v>
      </c>
      <c r="N160" t="str">
        <f t="shared" si="10"/>
        <v>Medium</v>
      </c>
      <c r="O160" t="str">
        <f t="shared" si="11"/>
        <v>Average</v>
      </c>
      <c r="P160" t="str">
        <f t="shared" si="12"/>
        <v>High</v>
      </c>
      <c r="Q160" t="str">
        <f t="shared" si="13"/>
        <v>Bad</v>
      </c>
      <c r="R160" t="str">
        <f t="shared" si="14"/>
        <v>High</v>
      </c>
    </row>
    <row r="161" spans="1:18" x14ac:dyDescent="0.45">
      <c r="A161">
        <v>160</v>
      </c>
      <c r="B161">
        <v>20</v>
      </c>
      <c r="C161" t="s">
        <v>13</v>
      </c>
      <c r="D161" t="s">
        <v>14</v>
      </c>
      <c r="E161" t="s">
        <v>21</v>
      </c>
      <c r="F161">
        <v>4.5999999999999996</v>
      </c>
      <c r="G161" t="s">
        <v>16</v>
      </c>
      <c r="H161" t="s">
        <v>17</v>
      </c>
      <c r="I161">
        <v>4.5999999999999996</v>
      </c>
      <c r="J161">
        <v>6</v>
      </c>
      <c r="K161" t="s">
        <v>18</v>
      </c>
      <c r="L161">
        <v>3</v>
      </c>
      <c r="M161">
        <v>7</v>
      </c>
      <c r="N161" t="str">
        <f t="shared" si="10"/>
        <v>Medium</v>
      </c>
      <c r="O161" t="str">
        <f t="shared" si="11"/>
        <v>High</v>
      </c>
      <c r="P161" t="str">
        <f t="shared" si="12"/>
        <v>Less</v>
      </c>
      <c r="Q161" t="str">
        <f t="shared" si="13"/>
        <v>Bad</v>
      </c>
      <c r="R161" t="str">
        <f t="shared" si="14"/>
        <v>High</v>
      </c>
    </row>
    <row r="162" spans="1:18" x14ac:dyDescent="0.45">
      <c r="A162">
        <v>161</v>
      </c>
      <c r="B162">
        <v>19</v>
      </c>
      <c r="C162" t="s">
        <v>13</v>
      </c>
      <c r="D162" t="s">
        <v>14</v>
      </c>
      <c r="E162" t="s">
        <v>15</v>
      </c>
      <c r="F162">
        <v>5.3</v>
      </c>
      <c r="G162" t="s">
        <v>16</v>
      </c>
      <c r="H162" t="s">
        <v>17</v>
      </c>
      <c r="I162">
        <v>6.1</v>
      </c>
      <c r="J162">
        <v>5</v>
      </c>
      <c r="K162" t="s">
        <v>24</v>
      </c>
      <c r="L162">
        <v>3</v>
      </c>
      <c r="M162">
        <v>7</v>
      </c>
      <c r="N162" t="str">
        <f t="shared" si="10"/>
        <v>Medium</v>
      </c>
      <c r="O162" t="str">
        <f t="shared" si="11"/>
        <v>Average</v>
      </c>
      <c r="P162" t="str">
        <f t="shared" si="12"/>
        <v>Average</v>
      </c>
      <c r="Q162" t="str">
        <f t="shared" si="13"/>
        <v>Bad</v>
      </c>
      <c r="R162" t="str">
        <f t="shared" si="14"/>
        <v>High</v>
      </c>
    </row>
    <row r="163" spans="1:18" x14ac:dyDescent="0.45">
      <c r="A163">
        <v>162</v>
      </c>
      <c r="B163">
        <v>21</v>
      </c>
      <c r="C163" t="s">
        <v>19</v>
      </c>
      <c r="D163" t="s">
        <v>20</v>
      </c>
      <c r="E163" t="s">
        <v>21</v>
      </c>
      <c r="F163">
        <v>4.8</v>
      </c>
      <c r="G163" t="s">
        <v>32</v>
      </c>
      <c r="H163" t="s">
        <v>23</v>
      </c>
      <c r="I163">
        <v>7.2</v>
      </c>
      <c r="J163">
        <v>7</v>
      </c>
      <c r="K163" t="s">
        <v>18</v>
      </c>
      <c r="L163">
        <v>2</v>
      </c>
      <c r="M163">
        <v>6</v>
      </c>
      <c r="N163" t="str">
        <f t="shared" si="10"/>
        <v>Medium</v>
      </c>
      <c r="O163" t="str">
        <f t="shared" si="11"/>
        <v>Average</v>
      </c>
      <c r="P163" t="str">
        <f t="shared" si="12"/>
        <v>High</v>
      </c>
      <c r="Q163" t="str">
        <f t="shared" si="13"/>
        <v>Bad</v>
      </c>
      <c r="R163" t="str">
        <f t="shared" si="14"/>
        <v>Medium</v>
      </c>
    </row>
    <row r="164" spans="1:18" x14ac:dyDescent="0.45">
      <c r="A164">
        <v>163</v>
      </c>
      <c r="B164">
        <v>20</v>
      </c>
      <c r="C164" t="s">
        <v>13</v>
      </c>
      <c r="D164" t="s">
        <v>14</v>
      </c>
      <c r="E164" t="s">
        <v>136</v>
      </c>
      <c r="F164">
        <v>5.5</v>
      </c>
      <c r="G164" t="s">
        <v>26</v>
      </c>
      <c r="H164" t="s">
        <v>17</v>
      </c>
      <c r="I164">
        <v>5.9</v>
      </c>
      <c r="J164">
        <v>6</v>
      </c>
      <c r="K164" t="s">
        <v>24</v>
      </c>
      <c r="L164">
        <v>4</v>
      </c>
      <c r="M164">
        <v>8</v>
      </c>
      <c r="N164" t="str">
        <f t="shared" si="10"/>
        <v>Medium</v>
      </c>
      <c r="O164" t="str">
        <f t="shared" si="11"/>
        <v>High</v>
      </c>
      <c r="P164" t="str">
        <f t="shared" si="12"/>
        <v>Average</v>
      </c>
      <c r="Q164" t="str">
        <f t="shared" si="13"/>
        <v>Bad</v>
      </c>
      <c r="R164" t="str">
        <f t="shared" si="14"/>
        <v>High</v>
      </c>
    </row>
    <row r="165" spans="1:18" x14ac:dyDescent="0.45">
      <c r="A165">
        <v>164</v>
      </c>
      <c r="B165">
        <v>22</v>
      </c>
      <c r="C165" t="s">
        <v>19</v>
      </c>
      <c r="D165" t="s">
        <v>20</v>
      </c>
      <c r="E165" t="s">
        <v>135</v>
      </c>
      <c r="F165">
        <v>4.7</v>
      </c>
      <c r="G165" t="s">
        <v>16</v>
      </c>
      <c r="H165" t="s">
        <v>17</v>
      </c>
      <c r="I165">
        <v>6.3</v>
      </c>
      <c r="J165">
        <v>5</v>
      </c>
      <c r="K165" t="s">
        <v>18</v>
      </c>
      <c r="L165">
        <v>3</v>
      </c>
      <c r="M165">
        <v>7</v>
      </c>
      <c r="N165" t="str">
        <f t="shared" si="10"/>
        <v>Medium</v>
      </c>
      <c r="O165" t="str">
        <f t="shared" si="11"/>
        <v>Average</v>
      </c>
      <c r="P165" t="str">
        <f t="shared" si="12"/>
        <v>Average</v>
      </c>
      <c r="Q165" t="str">
        <f t="shared" si="13"/>
        <v>Bad</v>
      </c>
      <c r="R165" t="str">
        <f t="shared" si="14"/>
        <v>High</v>
      </c>
    </row>
    <row r="166" spans="1:18" x14ac:dyDescent="0.45">
      <c r="A166">
        <v>165</v>
      </c>
      <c r="B166">
        <v>19</v>
      </c>
      <c r="C166" t="s">
        <v>13</v>
      </c>
      <c r="D166" t="s">
        <v>14</v>
      </c>
      <c r="E166" t="s">
        <v>138</v>
      </c>
      <c r="F166">
        <v>5.0999999999999996</v>
      </c>
      <c r="G166" t="s">
        <v>32</v>
      </c>
      <c r="H166" t="s">
        <v>23</v>
      </c>
      <c r="I166">
        <v>7</v>
      </c>
      <c r="J166">
        <v>7</v>
      </c>
      <c r="K166" t="s">
        <v>24</v>
      </c>
      <c r="L166">
        <v>2</v>
      </c>
      <c r="M166">
        <v>5</v>
      </c>
      <c r="N166" t="str">
        <f t="shared" si="10"/>
        <v>Medium</v>
      </c>
      <c r="O166" t="str">
        <f t="shared" si="11"/>
        <v>Average</v>
      </c>
      <c r="P166" t="str">
        <f t="shared" si="12"/>
        <v>Average</v>
      </c>
      <c r="Q166" t="str">
        <f t="shared" si="13"/>
        <v>Bad</v>
      </c>
      <c r="R166" t="str">
        <f t="shared" si="14"/>
        <v>Medium</v>
      </c>
    </row>
    <row r="167" spans="1:18" x14ac:dyDescent="0.45">
      <c r="A167">
        <v>166</v>
      </c>
      <c r="B167">
        <v>21</v>
      </c>
      <c r="C167" t="s">
        <v>19</v>
      </c>
      <c r="D167" t="s">
        <v>20</v>
      </c>
      <c r="E167" t="s">
        <v>139</v>
      </c>
      <c r="F167">
        <v>5.4</v>
      </c>
      <c r="G167" t="s">
        <v>26</v>
      </c>
      <c r="H167" t="s">
        <v>17</v>
      </c>
      <c r="I167">
        <v>6</v>
      </c>
      <c r="J167">
        <v>6</v>
      </c>
      <c r="K167" t="s">
        <v>18</v>
      </c>
      <c r="L167">
        <v>4</v>
      </c>
      <c r="M167">
        <v>8</v>
      </c>
      <c r="N167" t="str">
        <f t="shared" si="10"/>
        <v>Medium</v>
      </c>
      <c r="O167" t="str">
        <f t="shared" si="11"/>
        <v>High</v>
      </c>
      <c r="P167" t="str">
        <f t="shared" si="12"/>
        <v>Average</v>
      </c>
      <c r="Q167" t="str">
        <f t="shared" si="13"/>
        <v>Bad</v>
      </c>
      <c r="R167" t="str">
        <f t="shared" si="14"/>
        <v>High</v>
      </c>
    </row>
    <row r="168" spans="1:18" x14ac:dyDescent="0.45">
      <c r="A168">
        <v>167</v>
      </c>
      <c r="B168">
        <v>20</v>
      </c>
      <c r="C168" t="s">
        <v>13</v>
      </c>
      <c r="D168" t="s">
        <v>14</v>
      </c>
      <c r="E168" t="s">
        <v>15</v>
      </c>
      <c r="F168">
        <v>4.9000000000000004</v>
      </c>
      <c r="G168" t="s">
        <v>16</v>
      </c>
      <c r="H168" t="s">
        <v>17</v>
      </c>
      <c r="I168">
        <v>6.4</v>
      </c>
      <c r="J168">
        <v>5</v>
      </c>
      <c r="K168" t="s">
        <v>24</v>
      </c>
      <c r="L168">
        <v>3</v>
      </c>
      <c r="M168">
        <v>7</v>
      </c>
      <c r="N168" t="str">
        <f t="shared" si="10"/>
        <v>Medium</v>
      </c>
      <c r="O168" t="str">
        <f t="shared" si="11"/>
        <v>Average</v>
      </c>
      <c r="P168" t="str">
        <f t="shared" si="12"/>
        <v>Average</v>
      </c>
      <c r="Q168" t="str">
        <f t="shared" si="13"/>
        <v>Bad</v>
      </c>
      <c r="R168" t="str">
        <f t="shared" si="14"/>
        <v>High</v>
      </c>
    </row>
    <row r="169" spans="1:18" x14ac:dyDescent="0.45">
      <c r="A169">
        <v>168</v>
      </c>
      <c r="B169">
        <v>22</v>
      </c>
      <c r="C169" t="s">
        <v>19</v>
      </c>
      <c r="D169" t="s">
        <v>20</v>
      </c>
      <c r="E169" t="s">
        <v>21</v>
      </c>
      <c r="F169">
        <v>5.2</v>
      </c>
      <c r="G169" t="s">
        <v>32</v>
      </c>
      <c r="H169" t="s">
        <v>23</v>
      </c>
      <c r="I169">
        <v>7.1</v>
      </c>
      <c r="J169">
        <v>7</v>
      </c>
      <c r="K169" t="s">
        <v>18</v>
      </c>
      <c r="L169">
        <v>2</v>
      </c>
      <c r="M169">
        <v>6</v>
      </c>
      <c r="N169" t="str">
        <f t="shared" si="10"/>
        <v>Medium</v>
      </c>
      <c r="O169" t="str">
        <f t="shared" si="11"/>
        <v>Average</v>
      </c>
      <c r="P169" t="str">
        <f t="shared" si="12"/>
        <v>High</v>
      </c>
      <c r="Q169" t="str">
        <f t="shared" si="13"/>
        <v>Bad</v>
      </c>
      <c r="R169" t="str">
        <f t="shared" si="14"/>
        <v>Medium</v>
      </c>
    </row>
    <row r="170" spans="1:18" x14ac:dyDescent="0.45">
      <c r="A170">
        <v>169</v>
      </c>
      <c r="B170">
        <v>19</v>
      </c>
      <c r="C170" t="s">
        <v>13</v>
      </c>
      <c r="D170" t="s">
        <v>14</v>
      </c>
      <c r="E170" t="s">
        <v>136</v>
      </c>
      <c r="F170">
        <v>5.6</v>
      </c>
      <c r="G170" t="s">
        <v>26</v>
      </c>
      <c r="H170" t="s">
        <v>17</v>
      </c>
      <c r="I170">
        <v>5.8</v>
      </c>
      <c r="J170">
        <v>6</v>
      </c>
      <c r="K170" t="s">
        <v>24</v>
      </c>
      <c r="L170">
        <v>4</v>
      </c>
      <c r="M170">
        <v>8</v>
      </c>
      <c r="N170" t="str">
        <f t="shared" si="10"/>
        <v>Medium</v>
      </c>
      <c r="O170" t="str">
        <f t="shared" si="11"/>
        <v>High</v>
      </c>
      <c r="P170" t="str">
        <f t="shared" si="12"/>
        <v>Average</v>
      </c>
      <c r="Q170" t="str">
        <f t="shared" si="13"/>
        <v>Bad</v>
      </c>
      <c r="R170" t="str">
        <f t="shared" si="14"/>
        <v>High</v>
      </c>
    </row>
    <row r="171" spans="1:18" x14ac:dyDescent="0.45">
      <c r="A171">
        <v>170</v>
      </c>
      <c r="B171">
        <v>21</v>
      </c>
      <c r="C171" t="s">
        <v>19</v>
      </c>
      <c r="D171" t="s">
        <v>20</v>
      </c>
      <c r="E171" t="s">
        <v>135</v>
      </c>
      <c r="F171">
        <v>4.5999999999999996</v>
      </c>
      <c r="G171" t="s">
        <v>16</v>
      </c>
      <c r="H171" t="s">
        <v>17</v>
      </c>
      <c r="I171">
        <v>6.5</v>
      </c>
      <c r="J171">
        <v>5</v>
      </c>
      <c r="K171" t="s">
        <v>18</v>
      </c>
      <c r="L171">
        <v>3</v>
      </c>
      <c r="M171">
        <v>7</v>
      </c>
      <c r="N171" t="str">
        <f t="shared" si="10"/>
        <v>Medium</v>
      </c>
      <c r="O171" t="str">
        <f t="shared" si="11"/>
        <v>Average</v>
      </c>
      <c r="P171" t="str">
        <f t="shared" si="12"/>
        <v>Average</v>
      </c>
      <c r="Q171" t="str">
        <f t="shared" si="13"/>
        <v>Bad</v>
      </c>
      <c r="R171" t="str">
        <f t="shared" si="14"/>
        <v>High</v>
      </c>
    </row>
    <row r="172" spans="1:18" x14ac:dyDescent="0.45">
      <c r="A172">
        <v>171</v>
      </c>
      <c r="B172">
        <v>20</v>
      </c>
      <c r="C172" t="s">
        <v>13</v>
      </c>
      <c r="D172" t="s">
        <v>14</v>
      </c>
      <c r="E172" t="s">
        <v>138</v>
      </c>
      <c r="F172">
        <v>5</v>
      </c>
      <c r="G172" t="s">
        <v>32</v>
      </c>
      <c r="H172" t="s">
        <v>23</v>
      </c>
      <c r="I172">
        <v>7.3</v>
      </c>
      <c r="J172">
        <v>7</v>
      </c>
      <c r="K172" t="s">
        <v>24</v>
      </c>
      <c r="L172">
        <v>2</v>
      </c>
      <c r="M172">
        <v>5</v>
      </c>
      <c r="N172" t="str">
        <f t="shared" si="10"/>
        <v>Medium</v>
      </c>
      <c r="O172" t="str">
        <f t="shared" si="11"/>
        <v>Average</v>
      </c>
      <c r="P172" t="str">
        <f t="shared" si="12"/>
        <v>High</v>
      </c>
      <c r="Q172" t="str">
        <f t="shared" si="13"/>
        <v>Bad</v>
      </c>
      <c r="R172" t="str">
        <f t="shared" si="14"/>
        <v>Medium</v>
      </c>
    </row>
    <row r="173" spans="1:18" x14ac:dyDescent="0.45">
      <c r="A173">
        <v>172</v>
      </c>
      <c r="B173">
        <v>22</v>
      </c>
      <c r="C173" t="s">
        <v>19</v>
      </c>
      <c r="D173" t="s">
        <v>20</v>
      </c>
      <c r="E173" t="s">
        <v>139</v>
      </c>
      <c r="F173">
        <v>5.3</v>
      </c>
      <c r="G173" t="s">
        <v>26</v>
      </c>
      <c r="H173" t="s">
        <v>17</v>
      </c>
      <c r="I173">
        <v>5.7</v>
      </c>
      <c r="J173">
        <v>6</v>
      </c>
      <c r="K173" t="s">
        <v>18</v>
      </c>
      <c r="L173">
        <v>4</v>
      </c>
      <c r="M173">
        <v>8</v>
      </c>
      <c r="N173" t="str">
        <f t="shared" si="10"/>
        <v>Medium</v>
      </c>
      <c r="O173" t="str">
        <f t="shared" si="11"/>
        <v>High</v>
      </c>
      <c r="P173" t="str">
        <f t="shared" si="12"/>
        <v>Average</v>
      </c>
      <c r="Q173" t="str">
        <f t="shared" si="13"/>
        <v>Bad</v>
      </c>
      <c r="R173" t="str">
        <f t="shared" si="14"/>
        <v>High</v>
      </c>
    </row>
    <row r="174" spans="1:18" x14ac:dyDescent="0.45">
      <c r="A174">
        <v>173</v>
      </c>
      <c r="B174">
        <v>19</v>
      </c>
      <c r="C174" t="s">
        <v>13</v>
      </c>
      <c r="D174" t="s">
        <v>14</v>
      </c>
      <c r="E174" t="s">
        <v>15</v>
      </c>
      <c r="F174">
        <v>4.8</v>
      </c>
      <c r="G174" t="s">
        <v>16</v>
      </c>
      <c r="H174" t="s">
        <v>17</v>
      </c>
      <c r="I174">
        <v>6.6</v>
      </c>
      <c r="J174">
        <v>5</v>
      </c>
      <c r="K174" t="s">
        <v>24</v>
      </c>
      <c r="L174">
        <v>3</v>
      </c>
      <c r="M174">
        <v>7</v>
      </c>
      <c r="N174" t="str">
        <f t="shared" si="10"/>
        <v>Medium</v>
      </c>
      <c r="O174" t="str">
        <f t="shared" si="11"/>
        <v>Average</v>
      </c>
      <c r="P174" t="str">
        <f t="shared" si="12"/>
        <v>Average</v>
      </c>
      <c r="Q174" t="str">
        <f t="shared" si="13"/>
        <v>Bad</v>
      </c>
      <c r="R174" t="str">
        <f t="shared" si="14"/>
        <v>High</v>
      </c>
    </row>
    <row r="175" spans="1:18" x14ac:dyDescent="0.45">
      <c r="A175">
        <v>174</v>
      </c>
      <c r="B175">
        <v>21</v>
      </c>
      <c r="C175" t="s">
        <v>19</v>
      </c>
      <c r="D175" t="s">
        <v>20</v>
      </c>
      <c r="E175" t="s">
        <v>21</v>
      </c>
      <c r="F175">
        <v>5.0999999999999996</v>
      </c>
      <c r="G175" t="s">
        <v>32</v>
      </c>
      <c r="H175" t="s">
        <v>23</v>
      </c>
      <c r="I175">
        <v>7.4</v>
      </c>
      <c r="J175">
        <v>7</v>
      </c>
      <c r="K175" t="s">
        <v>18</v>
      </c>
      <c r="L175">
        <v>2</v>
      </c>
      <c r="M175">
        <v>6</v>
      </c>
      <c r="N175" t="str">
        <f t="shared" si="10"/>
        <v>Medium</v>
      </c>
      <c r="O175" t="str">
        <f t="shared" si="11"/>
        <v>High</v>
      </c>
      <c r="P175" t="str">
        <f t="shared" si="12"/>
        <v>High</v>
      </c>
      <c r="Q175" t="str">
        <f t="shared" si="13"/>
        <v>Bad</v>
      </c>
      <c r="R175" t="str">
        <f t="shared" si="14"/>
        <v>Medium</v>
      </c>
    </row>
    <row r="176" spans="1:18" x14ac:dyDescent="0.45">
      <c r="A176">
        <v>175</v>
      </c>
      <c r="B176">
        <v>20</v>
      </c>
      <c r="C176" t="s">
        <v>13</v>
      </c>
      <c r="D176" t="s">
        <v>14</v>
      </c>
      <c r="E176" t="s">
        <v>136</v>
      </c>
      <c r="F176">
        <v>5.7</v>
      </c>
      <c r="G176" t="s">
        <v>26</v>
      </c>
      <c r="H176" t="s">
        <v>17</v>
      </c>
      <c r="I176">
        <v>5.6</v>
      </c>
      <c r="J176">
        <v>6</v>
      </c>
      <c r="K176" t="s">
        <v>24</v>
      </c>
      <c r="L176">
        <v>4</v>
      </c>
      <c r="M176">
        <v>8</v>
      </c>
      <c r="N176" t="str">
        <f t="shared" si="10"/>
        <v>Medium</v>
      </c>
      <c r="O176" t="str">
        <f t="shared" si="11"/>
        <v>High</v>
      </c>
      <c r="P176" t="str">
        <f t="shared" si="12"/>
        <v>Average</v>
      </c>
      <c r="Q176" t="str">
        <f t="shared" si="13"/>
        <v>Bad</v>
      </c>
      <c r="R176" t="str">
        <f t="shared" si="14"/>
        <v>High</v>
      </c>
    </row>
    <row r="177" spans="1:18" x14ac:dyDescent="0.45">
      <c r="A177">
        <v>176</v>
      </c>
      <c r="B177">
        <v>22</v>
      </c>
      <c r="C177" t="s">
        <v>19</v>
      </c>
      <c r="D177" t="s">
        <v>20</v>
      </c>
      <c r="E177" t="s">
        <v>135</v>
      </c>
      <c r="F177">
        <v>4.5</v>
      </c>
      <c r="G177" t="s">
        <v>16</v>
      </c>
      <c r="H177" t="s">
        <v>17</v>
      </c>
      <c r="I177">
        <v>6.7</v>
      </c>
      <c r="J177">
        <v>5</v>
      </c>
      <c r="K177" t="s">
        <v>18</v>
      </c>
      <c r="L177">
        <v>3</v>
      </c>
      <c r="M177">
        <v>7</v>
      </c>
      <c r="N177" t="str">
        <f t="shared" si="10"/>
        <v>Medium</v>
      </c>
      <c r="O177" t="str">
        <f t="shared" si="11"/>
        <v>Average</v>
      </c>
      <c r="P177" t="str">
        <f t="shared" si="12"/>
        <v>Average</v>
      </c>
      <c r="Q177" t="str">
        <f t="shared" si="13"/>
        <v>Bad</v>
      </c>
      <c r="R177" t="str">
        <f t="shared" si="14"/>
        <v>High</v>
      </c>
    </row>
    <row r="178" spans="1:18" x14ac:dyDescent="0.45">
      <c r="A178">
        <v>177</v>
      </c>
      <c r="B178">
        <v>19</v>
      </c>
      <c r="C178" t="s">
        <v>13</v>
      </c>
      <c r="D178" t="s">
        <v>14</v>
      </c>
      <c r="E178" t="s">
        <v>138</v>
      </c>
      <c r="F178">
        <v>4.9000000000000004</v>
      </c>
      <c r="G178" t="s">
        <v>32</v>
      </c>
      <c r="H178" t="s">
        <v>23</v>
      </c>
      <c r="I178">
        <v>7.5</v>
      </c>
      <c r="J178">
        <v>7</v>
      </c>
      <c r="K178" t="s">
        <v>24</v>
      </c>
      <c r="L178">
        <v>2</v>
      </c>
      <c r="M178">
        <v>5</v>
      </c>
      <c r="N178" t="str">
        <f t="shared" si="10"/>
        <v>Medium</v>
      </c>
      <c r="O178" t="str">
        <f t="shared" si="11"/>
        <v>High</v>
      </c>
      <c r="P178" t="str">
        <f t="shared" si="12"/>
        <v>High</v>
      </c>
      <c r="Q178" t="str">
        <f t="shared" si="13"/>
        <v>Bad</v>
      </c>
      <c r="R178" t="str">
        <f t="shared" si="14"/>
        <v>Medium</v>
      </c>
    </row>
    <row r="179" spans="1:18" x14ac:dyDescent="0.45">
      <c r="A179">
        <v>178</v>
      </c>
      <c r="B179">
        <v>21</v>
      </c>
      <c r="C179" t="s">
        <v>19</v>
      </c>
      <c r="D179" t="s">
        <v>20</v>
      </c>
      <c r="E179" t="s">
        <v>139</v>
      </c>
      <c r="F179">
        <v>5.2</v>
      </c>
      <c r="G179" t="s">
        <v>26</v>
      </c>
      <c r="H179" t="s">
        <v>17</v>
      </c>
      <c r="I179">
        <v>5.5</v>
      </c>
      <c r="J179">
        <v>6</v>
      </c>
      <c r="K179" t="s">
        <v>18</v>
      </c>
      <c r="L179">
        <v>4</v>
      </c>
      <c r="M179">
        <v>8</v>
      </c>
      <c r="N179" t="str">
        <f t="shared" si="10"/>
        <v>Medium</v>
      </c>
      <c r="O179" t="str">
        <f t="shared" si="11"/>
        <v>High</v>
      </c>
      <c r="P179" t="str">
        <f t="shared" si="12"/>
        <v>Average</v>
      </c>
      <c r="Q179" t="str">
        <f t="shared" si="13"/>
        <v>Bad</v>
      </c>
      <c r="R179" t="str">
        <f t="shared" si="14"/>
        <v>High</v>
      </c>
    </row>
    <row r="180" spans="1:18" x14ac:dyDescent="0.45">
      <c r="A180">
        <v>179</v>
      </c>
      <c r="B180">
        <v>20</v>
      </c>
      <c r="C180" t="s">
        <v>13</v>
      </c>
      <c r="D180" t="s">
        <v>14</v>
      </c>
      <c r="E180" t="s">
        <v>15</v>
      </c>
      <c r="F180">
        <v>4.7</v>
      </c>
      <c r="G180" t="s">
        <v>16</v>
      </c>
      <c r="H180" t="s">
        <v>17</v>
      </c>
      <c r="I180">
        <v>6.8</v>
      </c>
      <c r="J180">
        <v>5</v>
      </c>
      <c r="K180" t="s">
        <v>24</v>
      </c>
      <c r="L180">
        <v>3</v>
      </c>
      <c r="M180">
        <v>7</v>
      </c>
      <c r="N180" t="str">
        <f t="shared" si="10"/>
        <v>Medium</v>
      </c>
      <c r="O180" t="str">
        <f t="shared" si="11"/>
        <v>Less</v>
      </c>
      <c r="P180" t="str">
        <f t="shared" si="12"/>
        <v>Average</v>
      </c>
      <c r="Q180" t="str">
        <f t="shared" si="13"/>
        <v>Bad</v>
      </c>
      <c r="R180" t="str">
        <f t="shared" si="14"/>
        <v>High</v>
      </c>
    </row>
    <row r="181" spans="1:18" x14ac:dyDescent="0.45">
      <c r="A181">
        <v>180</v>
      </c>
      <c r="B181">
        <v>22</v>
      </c>
      <c r="C181" t="s">
        <v>19</v>
      </c>
      <c r="D181" t="s">
        <v>20</v>
      </c>
      <c r="E181" t="s">
        <v>21</v>
      </c>
      <c r="F181">
        <v>5</v>
      </c>
      <c r="G181" t="s">
        <v>32</v>
      </c>
      <c r="H181" t="s">
        <v>23</v>
      </c>
      <c r="I181">
        <v>7.6</v>
      </c>
      <c r="J181">
        <v>7</v>
      </c>
      <c r="K181" t="s">
        <v>18</v>
      </c>
      <c r="L181">
        <v>2</v>
      </c>
      <c r="M181">
        <v>6</v>
      </c>
      <c r="N181" t="str">
        <f t="shared" si="10"/>
        <v>Medium</v>
      </c>
      <c r="O181" t="str">
        <f t="shared" si="11"/>
        <v>High</v>
      </c>
      <c r="P181" t="str">
        <f t="shared" si="12"/>
        <v>High</v>
      </c>
      <c r="Q181" t="str">
        <f t="shared" si="13"/>
        <v>Bad</v>
      </c>
      <c r="R181" t="str">
        <f t="shared" si="14"/>
        <v>Medium</v>
      </c>
    </row>
    <row r="182" spans="1:18" x14ac:dyDescent="0.45">
      <c r="A182">
        <v>181</v>
      </c>
      <c r="B182">
        <v>19</v>
      </c>
      <c r="C182" t="s">
        <v>13</v>
      </c>
      <c r="D182" t="s">
        <v>14</v>
      </c>
      <c r="E182" t="s">
        <v>136</v>
      </c>
      <c r="F182">
        <v>5.8</v>
      </c>
      <c r="G182" t="s">
        <v>26</v>
      </c>
      <c r="H182" t="s">
        <v>17</v>
      </c>
      <c r="I182">
        <v>5.4</v>
      </c>
      <c r="J182">
        <v>6</v>
      </c>
      <c r="K182" t="s">
        <v>24</v>
      </c>
      <c r="L182">
        <v>4</v>
      </c>
      <c r="M182">
        <v>8</v>
      </c>
      <c r="N182" t="str">
        <f t="shared" si="10"/>
        <v>Medium</v>
      </c>
      <c r="O182" t="str">
        <f t="shared" si="11"/>
        <v>High</v>
      </c>
      <c r="P182" t="str">
        <f t="shared" si="12"/>
        <v>Average</v>
      </c>
      <c r="Q182" t="str">
        <f t="shared" si="13"/>
        <v>Bad</v>
      </c>
      <c r="R182" t="str">
        <f t="shared" si="14"/>
        <v>High</v>
      </c>
    </row>
    <row r="183" spans="1:18" x14ac:dyDescent="0.45">
      <c r="A183">
        <v>182</v>
      </c>
      <c r="B183">
        <v>21</v>
      </c>
      <c r="C183" t="s">
        <v>19</v>
      </c>
      <c r="D183" t="s">
        <v>20</v>
      </c>
      <c r="E183" t="s">
        <v>135</v>
      </c>
      <c r="F183">
        <v>4.4000000000000004</v>
      </c>
      <c r="G183" t="s">
        <v>16</v>
      </c>
      <c r="H183" t="s">
        <v>17</v>
      </c>
      <c r="I183">
        <v>6.9</v>
      </c>
      <c r="J183">
        <v>5</v>
      </c>
      <c r="K183" t="s">
        <v>18</v>
      </c>
      <c r="L183">
        <v>3</v>
      </c>
      <c r="M183">
        <v>7</v>
      </c>
      <c r="N183" t="str">
        <f t="shared" si="10"/>
        <v>Medium</v>
      </c>
      <c r="O183" t="str">
        <f t="shared" si="11"/>
        <v>Less</v>
      </c>
      <c r="P183" t="str">
        <f t="shared" si="12"/>
        <v>Average</v>
      </c>
      <c r="Q183" t="str">
        <f t="shared" si="13"/>
        <v>Bad</v>
      </c>
      <c r="R183" t="str">
        <f t="shared" si="14"/>
        <v>High</v>
      </c>
    </row>
    <row r="184" spans="1:18" x14ac:dyDescent="0.45">
      <c r="A184">
        <v>183</v>
      </c>
      <c r="B184">
        <v>20</v>
      </c>
      <c r="C184" t="s">
        <v>13</v>
      </c>
      <c r="D184" t="s">
        <v>14</v>
      </c>
      <c r="E184" t="s">
        <v>138</v>
      </c>
      <c r="F184">
        <v>4.8</v>
      </c>
      <c r="G184" t="s">
        <v>32</v>
      </c>
      <c r="H184" t="s">
        <v>23</v>
      </c>
      <c r="I184">
        <v>7.7</v>
      </c>
      <c r="J184">
        <v>7</v>
      </c>
      <c r="K184" t="s">
        <v>24</v>
      </c>
      <c r="L184">
        <v>2</v>
      </c>
      <c r="M184">
        <v>5</v>
      </c>
      <c r="N184" t="str">
        <f t="shared" si="10"/>
        <v>Medium</v>
      </c>
      <c r="O184" t="str">
        <f t="shared" si="11"/>
        <v>High</v>
      </c>
      <c r="P184" t="str">
        <f t="shared" si="12"/>
        <v>High</v>
      </c>
      <c r="Q184" t="str">
        <f t="shared" si="13"/>
        <v>Bad</v>
      </c>
      <c r="R184" t="str">
        <f t="shared" si="14"/>
        <v>Medium</v>
      </c>
    </row>
    <row r="185" spans="1:18" x14ac:dyDescent="0.45">
      <c r="A185">
        <v>184</v>
      </c>
      <c r="B185">
        <v>22</v>
      </c>
      <c r="C185" t="s">
        <v>19</v>
      </c>
      <c r="D185" t="s">
        <v>20</v>
      </c>
      <c r="E185" t="s">
        <v>139</v>
      </c>
      <c r="F185">
        <v>5.0999999999999996</v>
      </c>
      <c r="G185" t="s">
        <v>26</v>
      </c>
      <c r="H185" t="s">
        <v>17</v>
      </c>
      <c r="I185">
        <v>5.3</v>
      </c>
      <c r="J185">
        <v>6</v>
      </c>
      <c r="K185" t="s">
        <v>18</v>
      </c>
      <c r="L185">
        <v>4</v>
      </c>
      <c r="M185">
        <v>8</v>
      </c>
      <c r="N185" t="str">
        <f t="shared" si="10"/>
        <v>Medium</v>
      </c>
      <c r="O185" t="str">
        <f t="shared" si="11"/>
        <v>High</v>
      </c>
      <c r="P185" t="str">
        <f t="shared" si="12"/>
        <v>Average</v>
      </c>
      <c r="Q185" t="str">
        <f t="shared" si="13"/>
        <v>Bad</v>
      </c>
      <c r="R185" t="str">
        <f t="shared" si="14"/>
        <v>High</v>
      </c>
    </row>
    <row r="186" spans="1:18" x14ac:dyDescent="0.45">
      <c r="A186">
        <v>185</v>
      </c>
      <c r="B186">
        <v>19</v>
      </c>
      <c r="C186" t="s">
        <v>13</v>
      </c>
      <c r="D186" t="s">
        <v>14</v>
      </c>
      <c r="E186" t="s">
        <v>15</v>
      </c>
      <c r="F186">
        <v>4.5999999999999996</v>
      </c>
      <c r="G186" t="s">
        <v>16</v>
      </c>
      <c r="H186" t="s">
        <v>17</v>
      </c>
      <c r="I186">
        <v>7</v>
      </c>
      <c r="J186">
        <v>5</v>
      </c>
      <c r="K186" t="s">
        <v>24</v>
      </c>
      <c r="L186">
        <v>3</v>
      </c>
      <c r="M186">
        <v>7</v>
      </c>
      <c r="N186" t="str">
        <f t="shared" si="10"/>
        <v>Medium</v>
      </c>
      <c r="O186" t="str">
        <f t="shared" si="11"/>
        <v>Less</v>
      </c>
      <c r="P186" t="str">
        <f t="shared" si="12"/>
        <v>Average</v>
      </c>
      <c r="Q186" t="str">
        <f t="shared" si="13"/>
        <v>Bad</v>
      </c>
      <c r="R186" t="str">
        <f t="shared" si="14"/>
        <v>High</v>
      </c>
    </row>
    <row r="187" spans="1:18" x14ac:dyDescent="0.45">
      <c r="A187">
        <v>186</v>
      </c>
      <c r="B187">
        <v>21</v>
      </c>
      <c r="C187" t="s">
        <v>19</v>
      </c>
      <c r="D187" t="s">
        <v>20</v>
      </c>
      <c r="E187" t="s">
        <v>21</v>
      </c>
      <c r="F187">
        <v>4.9000000000000004</v>
      </c>
      <c r="G187" t="s">
        <v>32</v>
      </c>
      <c r="H187" t="s">
        <v>23</v>
      </c>
      <c r="I187">
        <v>7.8</v>
      </c>
      <c r="J187">
        <v>7</v>
      </c>
      <c r="K187" t="s">
        <v>18</v>
      </c>
      <c r="L187">
        <v>2</v>
      </c>
      <c r="M187">
        <v>6</v>
      </c>
      <c r="N187" t="str">
        <f t="shared" si="10"/>
        <v>Medium</v>
      </c>
      <c r="O187" t="str">
        <f t="shared" si="11"/>
        <v>High</v>
      </c>
      <c r="P187" t="str">
        <f t="shared" si="12"/>
        <v>High</v>
      </c>
      <c r="Q187" t="str">
        <f t="shared" si="13"/>
        <v>Bad</v>
      </c>
      <c r="R187" t="str">
        <f t="shared" si="14"/>
        <v>Medium</v>
      </c>
    </row>
    <row r="188" spans="1:18" x14ac:dyDescent="0.45">
      <c r="A188">
        <v>187</v>
      </c>
      <c r="B188">
        <v>20</v>
      </c>
      <c r="C188" t="s">
        <v>13</v>
      </c>
      <c r="D188" t="s">
        <v>14</v>
      </c>
      <c r="E188" t="s">
        <v>136</v>
      </c>
      <c r="F188">
        <v>5.9</v>
      </c>
      <c r="G188" t="s">
        <v>26</v>
      </c>
      <c r="H188" t="s">
        <v>17</v>
      </c>
      <c r="I188">
        <v>5.2</v>
      </c>
      <c r="J188">
        <v>6</v>
      </c>
      <c r="K188" t="s">
        <v>24</v>
      </c>
      <c r="L188">
        <v>4</v>
      </c>
      <c r="M188">
        <v>8</v>
      </c>
      <c r="N188" t="str">
        <f t="shared" si="10"/>
        <v>Medium</v>
      </c>
      <c r="O188" t="str">
        <f t="shared" si="11"/>
        <v>High</v>
      </c>
      <c r="P188" t="str">
        <f t="shared" si="12"/>
        <v>Average</v>
      </c>
      <c r="Q188" t="str">
        <f t="shared" si="13"/>
        <v>Bad</v>
      </c>
      <c r="R188" t="str">
        <f t="shared" si="14"/>
        <v>High</v>
      </c>
    </row>
    <row r="189" spans="1:18" x14ac:dyDescent="0.45">
      <c r="A189">
        <v>188</v>
      </c>
      <c r="B189">
        <v>22</v>
      </c>
      <c r="C189" t="s">
        <v>19</v>
      </c>
      <c r="D189" t="s">
        <v>20</v>
      </c>
      <c r="E189" t="s">
        <v>135</v>
      </c>
      <c r="F189">
        <v>4.3</v>
      </c>
      <c r="G189" t="s">
        <v>16</v>
      </c>
      <c r="H189" t="s">
        <v>17</v>
      </c>
      <c r="I189">
        <v>7.1</v>
      </c>
      <c r="J189">
        <v>5</v>
      </c>
      <c r="K189" t="s">
        <v>18</v>
      </c>
      <c r="L189">
        <v>3</v>
      </c>
      <c r="M189">
        <v>7</v>
      </c>
      <c r="N189" t="str">
        <f t="shared" si="10"/>
        <v>Medium</v>
      </c>
      <c r="O189" t="str">
        <f t="shared" si="11"/>
        <v>Less</v>
      </c>
      <c r="P189" t="str">
        <f t="shared" si="12"/>
        <v>High</v>
      </c>
      <c r="Q189" t="str">
        <f t="shared" si="13"/>
        <v>Bad</v>
      </c>
      <c r="R189" t="str">
        <f t="shared" si="14"/>
        <v>High</v>
      </c>
    </row>
    <row r="190" spans="1:18" x14ac:dyDescent="0.45">
      <c r="A190">
        <v>189</v>
      </c>
      <c r="B190">
        <v>19</v>
      </c>
      <c r="C190" t="s">
        <v>13</v>
      </c>
      <c r="D190" t="s">
        <v>14</v>
      </c>
      <c r="E190" t="s">
        <v>138</v>
      </c>
      <c r="F190">
        <v>4.7</v>
      </c>
      <c r="G190" t="s">
        <v>32</v>
      </c>
      <c r="H190" t="s">
        <v>23</v>
      </c>
      <c r="I190">
        <v>7.9</v>
      </c>
      <c r="J190">
        <v>7</v>
      </c>
      <c r="K190" t="s">
        <v>24</v>
      </c>
      <c r="L190">
        <v>2</v>
      </c>
      <c r="M190">
        <v>5</v>
      </c>
      <c r="N190" t="str">
        <f t="shared" si="10"/>
        <v>Medium</v>
      </c>
      <c r="O190" t="str">
        <f t="shared" si="11"/>
        <v>High</v>
      </c>
      <c r="P190" t="str">
        <f t="shared" si="12"/>
        <v>High</v>
      </c>
      <c r="Q190" t="str">
        <f t="shared" si="13"/>
        <v>Bad</v>
      </c>
      <c r="R190" t="str">
        <f t="shared" si="14"/>
        <v>Medium</v>
      </c>
    </row>
    <row r="191" spans="1:18" x14ac:dyDescent="0.45">
      <c r="A191">
        <v>190</v>
      </c>
      <c r="B191">
        <v>21</v>
      </c>
      <c r="C191" t="s">
        <v>19</v>
      </c>
      <c r="D191" t="s">
        <v>20</v>
      </c>
      <c r="E191" t="s">
        <v>139</v>
      </c>
      <c r="F191">
        <v>5</v>
      </c>
      <c r="G191" t="s">
        <v>26</v>
      </c>
      <c r="H191" t="s">
        <v>17</v>
      </c>
      <c r="I191">
        <v>5.0999999999999996</v>
      </c>
      <c r="J191">
        <v>6</v>
      </c>
      <c r="K191" t="s">
        <v>18</v>
      </c>
      <c r="L191">
        <v>4</v>
      </c>
      <c r="M191">
        <v>8</v>
      </c>
      <c r="N191" t="str">
        <f t="shared" si="10"/>
        <v>Medium</v>
      </c>
      <c r="O191" t="str">
        <f t="shared" si="11"/>
        <v>High</v>
      </c>
      <c r="P191" t="str">
        <f t="shared" si="12"/>
        <v>Average</v>
      </c>
      <c r="Q191" t="str">
        <f t="shared" si="13"/>
        <v>Bad</v>
      </c>
      <c r="R191" t="str">
        <f t="shared" si="14"/>
        <v>High</v>
      </c>
    </row>
    <row r="192" spans="1:18" x14ac:dyDescent="0.45">
      <c r="A192">
        <v>191</v>
      </c>
      <c r="B192">
        <v>20</v>
      </c>
      <c r="C192" t="s">
        <v>13</v>
      </c>
      <c r="D192" t="s">
        <v>14</v>
      </c>
      <c r="E192" t="s">
        <v>15</v>
      </c>
      <c r="F192">
        <v>4.5</v>
      </c>
      <c r="G192" t="s">
        <v>16</v>
      </c>
      <c r="H192" t="s">
        <v>17</v>
      </c>
      <c r="I192">
        <v>7.2</v>
      </c>
      <c r="J192">
        <v>5</v>
      </c>
      <c r="K192" t="s">
        <v>24</v>
      </c>
      <c r="L192">
        <v>3</v>
      </c>
      <c r="M192">
        <v>7</v>
      </c>
      <c r="N192" t="str">
        <f t="shared" si="10"/>
        <v>Medium</v>
      </c>
      <c r="O192" t="str">
        <f t="shared" si="11"/>
        <v>Less</v>
      </c>
      <c r="P192" t="str">
        <f t="shared" si="12"/>
        <v>High</v>
      </c>
      <c r="Q192" t="str">
        <f t="shared" si="13"/>
        <v>Bad</v>
      </c>
      <c r="R192" t="str">
        <f t="shared" si="14"/>
        <v>High</v>
      </c>
    </row>
    <row r="193" spans="1:18" x14ac:dyDescent="0.45">
      <c r="A193">
        <v>192</v>
      </c>
      <c r="B193">
        <v>22</v>
      </c>
      <c r="C193" t="s">
        <v>19</v>
      </c>
      <c r="D193" t="s">
        <v>20</v>
      </c>
      <c r="E193" t="s">
        <v>21</v>
      </c>
      <c r="F193">
        <v>4.8</v>
      </c>
      <c r="G193" t="s">
        <v>32</v>
      </c>
      <c r="H193" t="s">
        <v>23</v>
      </c>
      <c r="I193">
        <v>8</v>
      </c>
      <c r="J193">
        <v>7</v>
      </c>
      <c r="K193" t="s">
        <v>18</v>
      </c>
      <c r="L193">
        <v>2</v>
      </c>
      <c r="M193">
        <v>6</v>
      </c>
      <c r="N193" t="str">
        <f t="shared" si="10"/>
        <v>Medium</v>
      </c>
      <c r="O193" t="str">
        <f t="shared" si="11"/>
        <v>High</v>
      </c>
      <c r="P193" t="str">
        <f t="shared" si="12"/>
        <v>High</v>
      </c>
      <c r="Q193" t="str">
        <f t="shared" si="13"/>
        <v>Bad</v>
      </c>
      <c r="R193" t="str">
        <f t="shared" si="14"/>
        <v>Medium</v>
      </c>
    </row>
    <row r="194" spans="1:18" x14ac:dyDescent="0.45">
      <c r="A194">
        <v>193</v>
      </c>
      <c r="B194">
        <v>19</v>
      </c>
      <c r="C194" t="s">
        <v>13</v>
      </c>
      <c r="D194" t="s">
        <v>14</v>
      </c>
      <c r="E194" t="s">
        <v>136</v>
      </c>
      <c r="F194">
        <v>6</v>
      </c>
      <c r="G194" t="s">
        <v>26</v>
      </c>
      <c r="H194" t="s">
        <v>17</v>
      </c>
      <c r="I194">
        <v>5</v>
      </c>
      <c r="J194">
        <v>6</v>
      </c>
      <c r="K194" t="s">
        <v>24</v>
      </c>
      <c r="L194">
        <v>4</v>
      </c>
      <c r="M194">
        <v>8</v>
      </c>
      <c r="N194" t="str">
        <f t="shared" si="10"/>
        <v>Medium</v>
      </c>
      <c r="O194" t="str">
        <f t="shared" si="11"/>
        <v>High</v>
      </c>
      <c r="P194" t="str">
        <f t="shared" si="12"/>
        <v>Less</v>
      </c>
      <c r="Q194" t="str">
        <f t="shared" si="13"/>
        <v>Bad</v>
      </c>
      <c r="R194" t="str">
        <f t="shared" si="14"/>
        <v>High</v>
      </c>
    </row>
    <row r="195" spans="1:18" x14ac:dyDescent="0.45">
      <c r="A195">
        <v>194</v>
      </c>
      <c r="B195">
        <v>21</v>
      </c>
      <c r="C195" t="s">
        <v>19</v>
      </c>
      <c r="D195" t="s">
        <v>20</v>
      </c>
      <c r="E195" t="s">
        <v>135</v>
      </c>
      <c r="F195">
        <v>4.2</v>
      </c>
      <c r="G195" t="s">
        <v>16</v>
      </c>
      <c r="H195" t="s">
        <v>17</v>
      </c>
      <c r="I195">
        <v>7.3</v>
      </c>
      <c r="J195">
        <v>5</v>
      </c>
      <c r="K195" t="s">
        <v>18</v>
      </c>
      <c r="L195">
        <v>3</v>
      </c>
      <c r="M195">
        <v>7</v>
      </c>
      <c r="N195" t="str">
        <f t="shared" ref="N195:N258" si="15">IF(AND(F195&gt;=1.5,F195&lt;=3.5),"Low",IF(AND(F195&gt;3.5,F195&lt;=6.5),"Medium","High"))</f>
        <v>Medium</v>
      </c>
      <c r="O195" t="str">
        <f t="shared" ref="O195:O258" si="16">IF(AND(I209&gt;=3.8,I209&lt;=5),"Less",IF(AND(I209&gt;5,I209&lt;=7),"Average","High"))</f>
        <v>Less</v>
      </c>
      <c r="P195" t="str">
        <f t="shared" ref="P195:P258" si="17">IF(AND(I195&gt;=3.8,I195&lt;=5),"Less",IF(AND(I195&gt;5,I195&lt;=7),"Average","High"))</f>
        <v>High</v>
      </c>
      <c r="Q195" t="str">
        <f t="shared" si="13"/>
        <v>Bad</v>
      </c>
      <c r="R195" t="str">
        <f t="shared" si="14"/>
        <v>High</v>
      </c>
    </row>
    <row r="196" spans="1:18" x14ac:dyDescent="0.45">
      <c r="A196">
        <v>195</v>
      </c>
      <c r="B196">
        <v>20</v>
      </c>
      <c r="C196" t="s">
        <v>13</v>
      </c>
      <c r="D196" t="s">
        <v>14</v>
      </c>
      <c r="E196" t="s">
        <v>138</v>
      </c>
      <c r="F196">
        <v>4.5999999999999996</v>
      </c>
      <c r="G196" t="s">
        <v>32</v>
      </c>
      <c r="H196" t="s">
        <v>23</v>
      </c>
      <c r="I196">
        <v>8.1</v>
      </c>
      <c r="J196">
        <v>7</v>
      </c>
      <c r="K196" t="s">
        <v>24</v>
      </c>
      <c r="L196">
        <v>2</v>
      </c>
      <c r="M196">
        <v>5</v>
      </c>
      <c r="N196" t="str">
        <f t="shared" si="15"/>
        <v>Medium</v>
      </c>
      <c r="O196" t="str">
        <f t="shared" si="16"/>
        <v>High</v>
      </c>
      <c r="P196" t="str">
        <f t="shared" si="17"/>
        <v>High</v>
      </c>
      <c r="Q196" t="str">
        <f t="shared" si="13"/>
        <v>Bad</v>
      </c>
      <c r="R196" t="str">
        <f t="shared" si="14"/>
        <v>Medium</v>
      </c>
    </row>
    <row r="197" spans="1:18" x14ac:dyDescent="0.45">
      <c r="A197">
        <v>196</v>
      </c>
      <c r="B197">
        <v>22</v>
      </c>
      <c r="C197" t="s">
        <v>19</v>
      </c>
      <c r="D197" t="s">
        <v>20</v>
      </c>
      <c r="E197" t="s">
        <v>139</v>
      </c>
      <c r="F197">
        <v>4.9000000000000004</v>
      </c>
      <c r="G197" t="s">
        <v>26</v>
      </c>
      <c r="H197" t="s">
        <v>17</v>
      </c>
      <c r="I197">
        <v>4.9000000000000004</v>
      </c>
      <c r="J197">
        <v>6</v>
      </c>
      <c r="K197" t="s">
        <v>18</v>
      </c>
      <c r="L197">
        <v>4</v>
      </c>
      <c r="M197">
        <v>8</v>
      </c>
      <c r="N197" t="str">
        <f t="shared" si="15"/>
        <v>Medium</v>
      </c>
      <c r="O197" t="str">
        <f t="shared" si="16"/>
        <v>High</v>
      </c>
      <c r="P197" t="str">
        <f t="shared" si="17"/>
        <v>Less</v>
      </c>
      <c r="Q197" t="str">
        <f t="shared" si="13"/>
        <v>Bad</v>
      </c>
      <c r="R197" t="str">
        <f t="shared" si="14"/>
        <v>High</v>
      </c>
    </row>
    <row r="198" spans="1:18" x14ac:dyDescent="0.45">
      <c r="A198">
        <v>197</v>
      </c>
      <c r="B198">
        <v>19</v>
      </c>
      <c r="C198" t="s">
        <v>13</v>
      </c>
      <c r="D198" t="s">
        <v>14</v>
      </c>
      <c r="E198" t="s">
        <v>15</v>
      </c>
      <c r="F198">
        <v>4.4000000000000004</v>
      </c>
      <c r="G198" t="s">
        <v>16</v>
      </c>
      <c r="H198" t="s">
        <v>17</v>
      </c>
      <c r="I198">
        <v>7.4</v>
      </c>
      <c r="J198">
        <v>5</v>
      </c>
      <c r="K198" t="s">
        <v>24</v>
      </c>
      <c r="L198">
        <v>3</v>
      </c>
      <c r="M198">
        <v>7</v>
      </c>
      <c r="N198" t="str">
        <f t="shared" si="15"/>
        <v>Medium</v>
      </c>
      <c r="O198" t="str">
        <f t="shared" si="16"/>
        <v>Less</v>
      </c>
      <c r="P198" t="str">
        <f t="shared" si="17"/>
        <v>High</v>
      </c>
      <c r="Q198" t="str">
        <f t="shared" ref="Q198:Q261" si="18">IF(AND(J198&gt;=0,J198&lt;=4),"Worst",IF(AND(J198&gt;4,J198&lt;=7),"Bad","Good"))</f>
        <v>Bad</v>
      </c>
      <c r="R198" t="str">
        <f t="shared" ref="R198:R261" si="19">IF(AND(M198&gt;0,M198&lt;=3),"Less",IF(AND(M198&gt;3,M198&lt;=6),"Medium","High"))</f>
        <v>High</v>
      </c>
    </row>
    <row r="199" spans="1:18" x14ac:dyDescent="0.45">
      <c r="A199">
        <v>198</v>
      </c>
      <c r="B199">
        <v>21</v>
      </c>
      <c r="C199" t="s">
        <v>19</v>
      </c>
      <c r="D199" t="s">
        <v>20</v>
      </c>
      <c r="E199" t="s">
        <v>21</v>
      </c>
      <c r="F199">
        <v>4.7</v>
      </c>
      <c r="G199" t="s">
        <v>32</v>
      </c>
      <c r="H199" t="s">
        <v>23</v>
      </c>
      <c r="I199">
        <v>8.1999999999999993</v>
      </c>
      <c r="J199">
        <v>7</v>
      </c>
      <c r="K199" t="s">
        <v>18</v>
      </c>
      <c r="L199">
        <v>2</v>
      </c>
      <c r="M199">
        <v>6</v>
      </c>
      <c r="N199" t="str">
        <f t="shared" si="15"/>
        <v>Medium</v>
      </c>
      <c r="O199" t="str">
        <f t="shared" si="16"/>
        <v>High</v>
      </c>
      <c r="P199" t="str">
        <f t="shared" si="17"/>
        <v>High</v>
      </c>
      <c r="Q199" t="str">
        <f t="shared" si="18"/>
        <v>Bad</v>
      </c>
      <c r="R199" t="str">
        <f t="shared" si="19"/>
        <v>Medium</v>
      </c>
    </row>
    <row r="200" spans="1:18" x14ac:dyDescent="0.45">
      <c r="A200">
        <v>199</v>
      </c>
      <c r="B200">
        <v>20</v>
      </c>
      <c r="C200" t="s">
        <v>13</v>
      </c>
      <c r="D200" t="s">
        <v>14</v>
      </c>
      <c r="E200" t="s">
        <v>136</v>
      </c>
      <c r="F200">
        <v>6.1</v>
      </c>
      <c r="G200" t="s">
        <v>26</v>
      </c>
      <c r="H200" t="s">
        <v>17</v>
      </c>
      <c r="I200">
        <v>4.8</v>
      </c>
      <c r="J200">
        <v>6</v>
      </c>
      <c r="K200" t="s">
        <v>24</v>
      </c>
      <c r="L200">
        <v>4</v>
      </c>
      <c r="M200">
        <v>8</v>
      </c>
      <c r="N200" t="str">
        <f t="shared" si="15"/>
        <v>Medium</v>
      </c>
      <c r="O200" t="str">
        <f t="shared" si="16"/>
        <v>High</v>
      </c>
      <c r="P200" t="str">
        <f t="shared" si="17"/>
        <v>Less</v>
      </c>
      <c r="Q200" t="str">
        <f t="shared" si="18"/>
        <v>Bad</v>
      </c>
      <c r="R200" t="str">
        <f t="shared" si="19"/>
        <v>High</v>
      </c>
    </row>
    <row r="201" spans="1:18" x14ac:dyDescent="0.45">
      <c r="A201">
        <v>200</v>
      </c>
      <c r="B201">
        <v>22</v>
      </c>
      <c r="C201" t="s">
        <v>19</v>
      </c>
      <c r="D201" t="s">
        <v>20</v>
      </c>
      <c r="E201" t="s">
        <v>135</v>
      </c>
      <c r="F201">
        <v>4.0999999999999996</v>
      </c>
      <c r="G201" t="s">
        <v>16</v>
      </c>
      <c r="H201" t="s">
        <v>17</v>
      </c>
      <c r="I201">
        <v>7.5</v>
      </c>
      <c r="J201">
        <v>5</v>
      </c>
      <c r="K201" t="s">
        <v>18</v>
      </c>
      <c r="L201">
        <v>3</v>
      </c>
      <c r="M201">
        <v>7</v>
      </c>
      <c r="N201" t="str">
        <f t="shared" si="15"/>
        <v>Medium</v>
      </c>
      <c r="O201" t="str">
        <f t="shared" si="16"/>
        <v>Less</v>
      </c>
      <c r="P201" t="str">
        <f t="shared" si="17"/>
        <v>High</v>
      </c>
      <c r="Q201" t="str">
        <f t="shared" si="18"/>
        <v>Bad</v>
      </c>
      <c r="R201" t="str">
        <f t="shared" si="19"/>
        <v>High</v>
      </c>
    </row>
    <row r="202" spans="1:18" x14ac:dyDescent="0.45">
      <c r="A202">
        <v>201</v>
      </c>
      <c r="B202">
        <v>19</v>
      </c>
      <c r="C202" t="s">
        <v>13</v>
      </c>
      <c r="D202" t="s">
        <v>14</v>
      </c>
      <c r="E202" t="s">
        <v>138</v>
      </c>
      <c r="F202">
        <v>4.5</v>
      </c>
      <c r="G202" t="s">
        <v>32</v>
      </c>
      <c r="H202" t="s">
        <v>23</v>
      </c>
      <c r="I202">
        <v>8.3000000000000007</v>
      </c>
      <c r="J202">
        <v>7</v>
      </c>
      <c r="K202" t="s">
        <v>24</v>
      </c>
      <c r="L202">
        <v>2</v>
      </c>
      <c r="M202">
        <v>5</v>
      </c>
      <c r="N202" t="str">
        <f t="shared" si="15"/>
        <v>Medium</v>
      </c>
      <c r="O202" t="str">
        <f t="shared" si="16"/>
        <v>High</v>
      </c>
      <c r="P202" t="str">
        <f t="shared" si="17"/>
        <v>High</v>
      </c>
      <c r="Q202" t="str">
        <f t="shared" si="18"/>
        <v>Bad</v>
      </c>
      <c r="R202" t="str">
        <f t="shared" si="19"/>
        <v>Medium</v>
      </c>
    </row>
    <row r="203" spans="1:18" x14ac:dyDescent="0.45">
      <c r="A203">
        <v>202</v>
      </c>
      <c r="B203">
        <v>21</v>
      </c>
      <c r="C203" t="s">
        <v>19</v>
      </c>
      <c r="D203" t="s">
        <v>20</v>
      </c>
      <c r="E203" t="s">
        <v>139</v>
      </c>
      <c r="F203">
        <v>4.8</v>
      </c>
      <c r="G203" t="s">
        <v>26</v>
      </c>
      <c r="H203" t="s">
        <v>17</v>
      </c>
      <c r="I203">
        <v>4.7</v>
      </c>
      <c r="J203">
        <v>6</v>
      </c>
      <c r="K203" t="s">
        <v>18</v>
      </c>
      <c r="L203">
        <v>4</v>
      </c>
      <c r="M203">
        <v>8</v>
      </c>
      <c r="N203" t="str">
        <f t="shared" si="15"/>
        <v>Medium</v>
      </c>
      <c r="O203" t="str">
        <f t="shared" si="16"/>
        <v>High</v>
      </c>
      <c r="P203" t="str">
        <f t="shared" si="17"/>
        <v>Less</v>
      </c>
      <c r="Q203" t="str">
        <f t="shared" si="18"/>
        <v>Bad</v>
      </c>
      <c r="R203" t="str">
        <f t="shared" si="19"/>
        <v>High</v>
      </c>
    </row>
    <row r="204" spans="1:18" x14ac:dyDescent="0.45">
      <c r="A204">
        <v>203</v>
      </c>
      <c r="B204">
        <v>20</v>
      </c>
      <c r="C204" t="s">
        <v>13</v>
      </c>
      <c r="D204" t="s">
        <v>14</v>
      </c>
      <c r="E204" t="s">
        <v>15</v>
      </c>
      <c r="F204">
        <v>4.3</v>
      </c>
      <c r="G204" t="s">
        <v>16</v>
      </c>
      <c r="H204" t="s">
        <v>17</v>
      </c>
      <c r="I204">
        <v>7.6</v>
      </c>
      <c r="J204">
        <v>5</v>
      </c>
      <c r="K204" t="s">
        <v>24</v>
      </c>
      <c r="L204">
        <v>3</v>
      </c>
      <c r="M204">
        <v>7</v>
      </c>
      <c r="N204" t="str">
        <f t="shared" si="15"/>
        <v>Medium</v>
      </c>
      <c r="O204" t="str">
        <f t="shared" si="16"/>
        <v>Less</v>
      </c>
      <c r="P204" t="str">
        <f t="shared" si="17"/>
        <v>High</v>
      </c>
      <c r="Q204" t="str">
        <f t="shared" si="18"/>
        <v>Bad</v>
      </c>
      <c r="R204" t="str">
        <f t="shared" si="19"/>
        <v>High</v>
      </c>
    </row>
    <row r="205" spans="1:18" x14ac:dyDescent="0.45">
      <c r="A205">
        <v>204</v>
      </c>
      <c r="B205">
        <v>22</v>
      </c>
      <c r="C205" t="s">
        <v>19</v>
      </c>
      <c r="D205" t="s">
        <v>20</v>
      </c>
      <c r="E205" t="s">
        <v>21</v>
      </c>
      <c r="F205">
        <v>4.5999999999999996</v>
      </c>
      <c r="G205" t="s">
        <v>32</v>
      </c>
      <c r="H205" t="s">
        <v>23</v>
      </c>
      <c r="I205">
        <v>8.4</v>
      </c>
      <c r="J205">
        <v>7</v>
      </c>
      <c r="K205" t="s">
        <v>18</v>
      </c>
      <c r="L205">
        <v>2</v>
      </c>
      <c r="M205">
        <v>6</v>
      </c>
      <c r="N205" t="str">
        <f t="shared" si="15"/>
        <v>Medium</v>
      </c>
      <c r="O205" t="str">
        <f t="shared" si="16"/>
        <v>High</v>
      </c>
      <c r="P205" t="str">
        <f t="shared" si="17"/>
        <v>High</v>
      </c>
      <c r="Q205" t="str">
        <f t="shared" si="18"/>
        <v>Bad</v>
      </c>
      <c r="R205" t="str">
        <f t="shared" si="19"/>
        <v>Medium</v>
      </c>
    </row>
    <row r="206" spans="1:18" x14ac:dyDescent="0.45">
      <c r="A206">
        <v>205</v>
      </c>
      <c r="B206">
        <v>19</v>
      </c>
      <c r="C206" t="s">
        <v>13</v>
      </c>
      <c r="D206" t="s">
        <v>14</v>
      </c>
      <c r="E206" t="s">
        <v>136</v>
      </c>
      <c r="F206">
        <v>6.2</v>
      </c>
      <c r="G206" t="s">
        <v>26</v>
      </c>
      <c r="H206" t="s">
        <v>17</v>
      </c>
      <c r="I206">
        <v>4.5999999999999996</v>
      </c>
      <c r="J206">
        <v>6</v>
      </c>
      <c r="K206" t="s">
        <v>24</v>
      </c>
      <c r="L206">
        <v>4</v>
      </c>
      <c r="M206">
        <v>8</v>
      </c>
      <c r="N206" t="str">
        <f t="shared" si="15"/>
        <v>Medium</v>
      </c>
      <c r="O206" t="str">
        <f t="shared" si="16"/>
        <v>High</v>
      </c>
      <c r="P206" t="str">
        <f t="shared" si="17"/>
        <v>Less</v>
      </c>
      <c r="Q206" t="str">
        <f t="shared" si="18"/>
        <v>Bad</v>
      </c>
      <c r="R206" t="str">
        <f t="shared" si="19"/>
        <v>High</v>
      </c>
    </row>
    <row r="207" spans="1:18" x14ac:dyDescent="0.45">
      <c r="A207">
        <v>206</v>
      </c>
      <c r="B207">
        <v>21</v>
      </c>
      <c r="C207" t="s">
        <v>19</v>
      </c>
      <c r="D207" t="s">
        <v>20</v>
      </c>
      <c r="E207" t="s">
        <v>135</v>
      </c>
      <c r="F207">
        <v>4</v>
      </c>
      <c r="G207" t="s">
        <v>16</v>
      </c>
      <c r="H207" t="s">
        <v>17</v>
      </c>
      <c r="I207">
        <v>7.7</v>
      </c>
      <c r="J207">
        <v>5</v>
      </c>
      <c r="K207" t="s">
        <v>18</v>
      </c>
      <c r="L207">
        <v>3</v>
      </c>
      <c r="M207">
        <v>7</v>
      </c>
      <c r="N207" t="str">
        <f t="shared" si="15"/>
        <v>Medium</v>
      </c>
      <c r="O207" t="str">
        <f t="shared" si="16"/>
        <v>Less</v>
      </c>
      <c r="P207" t="str">
        <f t="shared" si="17"/>
        <v>High</v>
      </c>
      <c r="Q207" t="str">
        <f t="shared" si="18"/>
        <v>Bad</v>
      </c>
      <c r="R207" t="str">
        <f t="shared" si="19"/>
        <v>High</v>
      </c>
    </row>
    <row r="208" spans="1:18" x14ac:dyDescent="0.45">
      <c r="A208">
        <v>207</v>
      </c>
      <c r="B208">
        <v>20</v>
      </c>
      <c r="C208" t="s">
        <v>13</v>
      </c>
      <c r="D208" t="s">
        <v>14</v>
      </c>
      <c r="E208" t="s">
        <v>138</v>
      </c>
      <c r="F208">
        <v>4.4000000000000004</v>
      </c>
      <c r="G208" t="s">
        <v>32</v>
      </c>
      <c r="H208" t="s">
        <v>23</v>
      </c>
      <c r="I208">
        <v>8.5</v>
      </c>
      <c r="J208">
        <v>7</v>
      </c>
      <c r="K208" t="s">
        <v>24</v>
      </c>
      <c r="L208">
        <v>2</v>
      </c>
      <c r="M208">
        <v>5</v>
      </c>
      <c r="N208" t="str">
        <f t="shared" si="15"/>
        <v>Medium</v>
      </c>
      <c r="O208" t="str">
        <f t="shared" si="16"/>
        <v>Average</v>
      </c>
      <c r="P208" t="str">
        <f t="shared" si="17"/>
        <v>High</v>
      </c>
      <c r="Q208" t="str">
        <f t="shared" si="18"/>
        <v>Bad</v>
      </c>
      <c r="R208" t="str">
        <f t="shared" si="19"/>
        <v>Medium</v>
      </c>
    </row>
    <row r="209" spans="1:18" x14ac:dyDescent="0.45">
      <c r="A209">
        <v>208</v>
      </c>
      <c r="B209">
        <v>22</v>
      </c>
      <c r="C209" t="s">
        <v>19</v>
      </c>
      <c r="D209" t="s">
        <v>20</v>
      </c>
      <c r="E209" t="s">
        <v>139</v>
      </c>
      <c r="F209">
        <v>4.7</v>
      </c>
      <c r="G209" t="s">
        <v>26</v>
      </c>
      <c r="H209" t="s">
        <v>17</v>
      </c>
      <c r="I209">
        <v>4.5</v>
      </c>
      <c r="J209">
        <v>6</v>
      </c>
      <c r="K209" t="s">
        <v>18</v>
      </c>
      <c r="L209">
        <v>4</v>
      </c>
      <c r="M209">
        <v>8</v>
      </c>
      <c r="N209" t="str">
        <f t="shared" si="15"/>
        <v>Medium</v>
      </c>
      <c r="O209" t="str">
        <f t="shared" si="16"/>
        <v>Average</v>
      </c>
      <c r="P209" t="str">
        <f t="shared" si="17"/>
        <v>Less</v>
      </c>
      <c r="Q209" t="str">
        <f t="shared" si="18"/>
        <v>Bad</v>
      </c>
      <c r="R209" t="str">
        <f t="shared" si="19"/>
        <v>High</v>
      </c>
    </row>
    <row r="210" spans="1:18" x14ac:dyDescent="0.45">
      <c r="A210">
        <v>209</v>
      </c>
      <c r="B210">
        <v>19</v>
      </c>
      <c r="C210" t="s">
        <v>13</v>
      </c>
      <c r="D210" t="s">
        <v>14</v>
      </c>
      <c r="E210" t="s">
        <v>15</v>
      </c>
      <c r="F210">
        <v>4.2</v>
      </c>
      <c r="G210" t="s">
        <v>16</v>
      </c>
      <c r="H210" t="s">
        <v>17</v>
      </c>
      <c r="I210">
        <v>7.8</v>
      </c>
      <c r="J210">
        <v>5</v>
      </c>
      <c r="K210" t="s">
        <v>24</v>
      </c>
      <c r="L210">
        <v>3</v>
      </c>
      <c r="M210">
        <v>7</v>
      </c>
      <c r="N210" t="str">
        <f t="shared" si="15"/>
        <v>Medium</v>
      </c>
      <c r="O210" t="str">
        <f t="shared" si="16"/>
        <v>High</v>
      </c>
      <c r="P210" t="str">
        <f t="shared" si="17"/>
        <v>High</v>
      </c>
      <c r="Q210" t="str">
        <f t="shared" si="18"/>
        <v>Bad</v>
      </c>
      <c r="R210" t="str">
        <f t="shared" si="19"/>
        <v>High</v>
      </c>
    </row>
    <row r="211" spans="1:18" x14ac:dyDescent="0.45">
      <c r="A211">
        <v>210</v>
      </c>
      <c r="B211">
        <v>21</v>
      </c>
      <c r="C211" t="s">
        <v>19</v>
      </c>
      <c r="D211" t="s">
        <v>20</v>
      </c>
      <c r="E211" t="s">
        <v>21</v>
      </c>
      <c r="F211">
        <v>4.5</v>
      </c>
      <c r="G211" t="s">
        <v>32</v>
      </c>
      <c r="H211" t="s">
        <v>23</v>
      </c>
      <c r="I211">
        <v>8.6</v>
      </c>
      <c r="J211">
        <v>7</v>
      </c>
      <c r="K211" t="s">
        <v>18</v>
      </c>
      <c r="L211">
        <v>2</v>
      </c>
      <c r="M211">
        <v>6</v>
      </c>
      <c r="N211" t="str">
        <f t="shared" si="15"/>
        <v>Medium</v>
      </c>
      <c r="O211" t="str">
        <f t="shared" si="16"/>
        <v>High</v>
      </c>
      <c r="P211" t="str">
        <f t="shared" si="17"/>
        <v>High</v>
      </c>
      <c r="Q211" t="str">
        <f t="shared" si="18"/>
        <v>Bad</v>
      </c>
      <c r="R211" t="str">
        <f t="shared" si="19"/>
        <v>Medium</v>
      </c>
    </row>
    <row r="212" spans="1:18" x14ac:dyDescent="0.45">
      <c r="A212">
        <v>211</v>
      </c>
      <c r="B212">
        <v>20</v>
      </c>
      <c r="C212" t="s">
        <v>13</v>
      </c>
      <c r="D212" t="s">
        <v>14</v>
      </c>
      <c r="E212" t="s">
        <v>136</v>
      </c>
      <c r="F212">
        <v>6.3</v>
      </c>
      <c r="G212" t="s">
        <v>26</v>
      </c>
      <c r="H212" t="s">
        <v>17</v>
      </c>
      <c r="I212">
        <v>4.4000000000000004</v>
      </c>
      <c r="J212">
        <v>6</v>
      </c>
      <c r="K212" t="s">
        <v>24</v>
      </c>
      <c r="L212">
        <v>4</v>
      </c>
      <c r="M212">
        <v>8</v>
      </c>
      <c r="N212" t="str">
        <f t="shared" si="15"/>
        <v>Medium</v>
      </c>
      <c r="O212" t="str">
        <f t="shared" si="16"/>
        <v>High</v>
      </c>
      <c r="P212" t="str">
        <f t="shared" si="17"/>
        <v>Less</v>
      </c>
      <c r="Q212" t="str">
        <f t="shared" si="18"/>
        <v>Bad</v>
      </c>
      <c r="R212" t="str">
        <f t="shared" si="19"/>
        <v>High</v>
      </c>
    </row>
    <row r="213" spans="1:18" x14ac:dyDescent="0.45">
      <c r="A213">
        <v>212</v>
      </c>
      <c r="B213">
        <v>22</v>
      </c>
      <c r="C213" t="s">
        <v>19</v>
      </c>
      <c r="D213" t="s">
        <v>20</v>
      </c>
      <c r="E213" t="s">
        <v>135</v>
      </c>
      <c r="F213">
        <v>3.9</v>
      </c>
      <c r="G213" t="s">
        <v>16</v>
      </c>
      <c r="H213" t="s">
        <v>17</v>
      </c>
      <c r="I213">
        <v>7.9</v>
      </c>
      <c r="J213">
        <v>5</v>
      </c>
      <c r="K213" t="s">
        <v>18</v>
      </c>
      <c r="L213">
        <v>3</v>
      </c>
      <c r="M213">
        <v>7</v>
      </c>
      <c r="N213" t="str">
        <f t="shared" si="15"/>
        <v>Medium</v>
      </c>
      <c r="O213" t="str">
        <f t="shared" si="16"/>
        <v>Average</v>
      </c>
      <c r="P213" t="str">
        <f t="shared" si="17"/>
        <v>High</v>
      </c>
      <c r="Q213" t="str">
        <f t="shared" si="18"/>
        <v>Bad</v>
      </c>
      <c r="R213" t="str">
        <f t="shared" si="19"/>
        <v>High</v>
      </c>
    </row>
    <row r="214" spans="1:18" x14ac:dyDescent="0.45">
      <c r="A214">
        <v>213</v>
      </c>
      <c r="B214">
        <v>19</v>
      </c>
      <c r="C214" t="s">
        <v>13</v>
      </c>
      <c r="D214" t="s">
        <v>14</v>
      </c>
      <c r="E214" t="s">
        <v>138</v>
      </c>
      <c r="F214">
        <v>4.3</v>
      </c>
      <c r="G214" t="s">
        <v>32</v>
      </c>
      <c r="H214" t="s">
        <v>23</v>
      </c>
      <c r="I214">
        <v>8.6999999999999993</v>
      </c>
      <c r="J214">
        <v>7</v>
      </c>
      <c r="K214" t="s">
        <v>24</v>
      </c>
      <c r="L214">
        <v>2</v>
      </c>
      <c r="M214">
        <v>5</v>
      </c>
      <c r="N214" t="str">
        <f t="shared" si="15"/>
        <v>Medium</v>
      </c>
      <c r="O214" t="str">
        <f t="shared" si="16"/>
        <v>Average</v>
      </c>
      <c r="P214" t="str">
        <f t="shared" si="17"/>
        <v>High</v>
      </c>
      <c r="Q214" t="str">
        <f t="shared" si="18"/>
        <v>Bad</v>
      </c>
      <c r="R214" t="str">
        <f t="shared" si="19"/>
        <v>Medium</v>
      </c>
    </row>
    <row r="215" spans="1:18" x14ac:dyDescent="0.45">
      <c r="A215">
        <v>214</v>
      </c>
      <c r="B215">
        <v>21</v>
      </c>
      <c r="C215" t="s">
        <v>19</v>
      </c>
      <c r="D215" t="s">
        <v>20</v>
      </c>
      <c r="E215" t="s">
        <v>139</v>
      </c>
      <c r="F215">
        <v>4.5999999999999996</v>
      </c>
      <c r="G215" t="s">
        <v>26</v>
      </c>
      <c r="H215" t="s">
        <v>17</v>
      </c>
      <c r="I215">
        <v>4.3</v>
      </c>
      <c r="J215">
        <v>6</v>
      </c>
      <c r="K215" t="s">
        <v>18</v>
      </c>
      <c r="L215">
        <v>4</v>
      </c>
      <c r="M215">
        <v>8</v>
      </c>
      <c r="N215" t="str">
        <f t="shared" si="15"/>
        <v>Medium</v>
      </c>
      <c r="O215" t="str">
        <f t="shared" si="16"/>
        <v>High</v>
      </c>
      <c r="P215" t="str">
        <f t="shared" si="17"/>
        <v>Less</v>
      </c>
      <c r="Q215" t="str">
        <f t="shared" si="18"/>
        <v>Bad</v>
      </c>
      <c r="R215" t="str">
        <f t="shared" si="19"/>
        <v>High</v>
      </c>
    </row>
    <row r="216" spans="1:18" x14ac:dyDescent="0.45">
      <c r="A216">
        <v>215</v>
      </c>
      <c r="B216">
        <v>20</v>
      </c>
      <c r="C216" t="s">
        <v>13</v>
      </c>
      <c r="D216" t="s">
        <v>14</v>
      </c>
      <c r="E216" t="s">
        <v>15</v>
      </c>
      <c r="F216">
        <v>4.0999999999999996</v>
      </c>
      <c r="G216" t="s">
        <v>16</v>
      </c>
      <c r="H216" t="s">
        <v>17</v>
      </c>
      <c r="I216">
        <v>8</v>
      </c>
      <c r="J216">
        <v>5</v>
      </c>
      <c r="K216" t="s">
        <v>24</v>
      </c>
      <c r="L216">
        <v>3</v>
      </c>
      <c r="M216">
        <v>7</v>
      </c>
      <c r="N216" t="str">
        <f t="shared" si="15"/>
        <v>Medium</v>
      </c>
      <c r="O216" t="str">
        <f t="shared" si="16"/>
        <v>Average</v>
      </c>
      <c r="P216" t="str">
        <f t="shared" si="17"/>
        <v>High</v>
      </c>
      <c r="Q216" t="str">
        <f t="shared" si="18"/>
        <v>Bad</v>
      </c>
      <c r="R216" t="str">
        <f t="shared" si="19"/>
        <v>High</v>
      </c>
    </row>
    <row r="217" spans="1:18" x14ac:dyDescent="0.45">
      <c r="A217">
        <v>216</v>
      </c>
      <c r="B217">
        <v>22</v>
      </c>
      <c r="C217" t="s">
        <v>19</v>
      </c>
      <c r="D217" t="s">
        <v>20</v>
      </c>
      <c r="E217" t="s">
        <v>21</v>
      </c>
      <c r="F217">
        <v>4.4000000000000004</v>
      </c>
      <c r="G217" t="s">
        <v>32</v>
      </c>
      <c r="H217" t="s">
        <v>23</v>
      </c>
      <c r="I217">
        <v>8.8000000000000007</v>
      </c>
      <c r="J217">
        <v>7</v>
      </c>
      <c r="K217" t="s">
        <v>18</v>
      </c>
      <c r="L217">
        <v>2</v>
      </c>
      <c r="M217">
        <v>6</v>
      </c>
      <c r="N217" t="str">
        <f t="shared" si="15"/>
        <v>Medium</v>
      </c>
      <c r="O217" t="str">
        <f t="shared" si="16"/>
        <v>Average</v>
      </c>
      <c r="P217" t="str">
        <f t="shared" si="17"/>
        <v>High</v>
      </c>
      <c r="Q217" t="str">
        <f t="shared" si="18"/>
        <v>Bad</v>
      </c>
      <c r="R217" t="str">
        <f t="shared" si="19"/>
        <v>Medium</v>
      </c>
    </row>
    <row r="218" spans="1:18" x14ac:dyDescent="0.45">
      <c r="A218">
        <v>217</v>
      </c>
      <c r="B218">
        <v>19</v>
      </c>
      <c r="C218" t="s">
        <v>13</v>
      </c>
      <c r="D218" t="s">
        <v>14</v>
      </c>
      <c r="E218" t="s">
        <v>136</v>
      </c>
      <c r="F218">
        <v>6.4</v>
      </c>
      <c r="G218" t="s">
        <v>26</v>
      </c>
      <c r="H218" t="s">
        <v>17</v>
      </c>
      <c r="I218">
        <v>4.2</v>
      </c>
      <c r="J218">
        <v>6</v>
      </c>
      <c r="K218" t="s">
        <v>24</v>
      </c>
      <c r="L218">
        <v>4</v>
      </c>
      <c r="M218">
        <v>8</v>
      </c>
      <c r="N218" t="str">
        <f t="shared" si="15"/>
        <v>Medium</v>
      </c>
      <c r="O218" t="str">
        <f t="shared" si="16"/>
        <v>High</v>
      </c>
      <c r="P218" t="str">
        <f t="shared" si="17"/>
        <v>Less</v>
      </c>
      <c r="Q218" t="str">
        <f t="shared" si="18"/>
        <v>Bad</v>
      </c>
      <c r="R218" t="str">
        <f t="shared" si="19"/>
        <v>High</v>
      </c>
    </row>
    <row r="219" spans="1:18" x14ac:dyDescent="0.45">
      <c r="A219">
        <v>218</v>
      </c>
      <c r="B219">
        <v>21</v>
      </c>
      <c r="C219" t="s">
        <v>19</v>
      </c>
      <c r="D219" t="s">
        <v>20</v>
      </c>
      <c r="E219" t="s">
        <v>135</v>
      </c>
      <c r="F219">
        <v>3.8</v>
      </c>
      <c r="G219" t="s">
        <v>16</v>
      </c>
      <c r="H219" t="s">
        <v>17</v>
      </c>
      <c r="I219">
        <v>8.1</v>
      </c>
      <c r="J219">
        <v>5</v>
      </c>
      <c r="K219" t="s">
        <v>18</v>
      </c>
      <c r="L219">
        <v>3</v>
      </c>
      <c r="M219">
        <v>7</v>
      </c>
      <c r="N219" t="str">
        <f t="shared" si="15"/>
        <v>Medium</v>
      </c>
      <c r="O219" t="str">
        <f t="shared" si="16"/>
        <v>High</v>
      </c>
      <c r="P219" t="str">
        <f t="shared" si="17"/>
        <v>High</v>
      </c>
      <c r="Q219" t="str">
        <f t="shared" si="18"/>
        <v>Bad</v>
      </c>
      <c r="R219" t="str">
        <f t="shared" si="19"/>
        <v>High</v>
      </c>
    </row>
    <row r="220" spans="1:18" x14ac:dyDescent="0.45">
      <c r="A220">
        <v>219</v>
      </c>
      <c r="B220">
        <v>20</v>
      </c>
      <c r="C220" t="s">
        <v>13</v>
      </c>
      <c r="D220" t="s">
        <v>14</v>
      </c>
      <c r="E220" t="s">
        <v>138</v>
      </c>
      <c r="F220">
        <v>4.2</v>
      </c>
      <c r="G220" t="s">
        <v>32</v>
      </c>
      <c r="H220" t="s">
        <v>23</v>
      </c>
      <c r="I220">
        <v>8.9</v>
      </c>
      <c r="J220">
        <v>7</v>
      </c>
      <c r="K220" t="s">
        <v>24</v>
      </c>
      <c r="L220">
        <v>2</v>
      </c>
      <c r="M220">
        <v>5</v>
      </c>
      <c r="N220" t="str">
        <f t="shared" si="15"/>
        <v>Medium</v>
      </c>
      <c r="O220" t="str">
        <f t="shared" si="16"/>
        <v>High</v>
      </c>
      <c r="P220" t="str">
        <f t="shared" si="17"/>
        <v>High</v>
      </c>
      <c r="Q220" t="str">
        <f t="shared" si="18"/>
        <v>Bad</v>
      </c>
      <c r="R220" t="str">
        <f t="shared" si="19"/>
        <v>Medium</v>
      </c>
    </row>
    <row r="221" spans="1:18" x14ac:dyDescent="0.45">
      <c r="A221">
        <v>220</v>
      </c>
      <c r="B221">
        <v>22</v>
      </c>
      <c r="C221" t="s">
        <v>19</v>
      </c>
      <c r="D221" t="s">
        <v>20</v>
      </c>
      <c r="E221" t="s">
        <v>139</v>
      </c>
      <c r="F221">
        <v>4.5</v>
      </c>
      <c r="G221" t="s">
        <v>26</v>
      </c>
      <c r="H221" t="s">
        <v>17</v>
      </c>
      <c r="I221">
        <v>4.0999999999999996</v>
      </c>
      <c r="J221">
        <v>6</v>
      </c>
      <c r="K221" t="s">
        <v>18</v>
      </c>
      <c r="L221">
        <v>4</v>
      </c>
      <c r="M221">
        <v>8</v>
      </c>
      <c r="N221" t="str">
        <f t="shared" si="15"/>
        <v>Medium</v>
      </c>
      <c r="O221" t="str">
        <f t="shared" si="16"/>
        <v>Average</v>
      </c>
      <c r="P221" t="str">
        <f t="shared" si="17"/>
        <v>Less</v>
      </c>
      <c r="Q221" t="str">
        <f t="shared" si="18"/>
        <v>Bad</v>
      </c>
      <c r="R221" t="str">
        <f t="shared" si="19"/>
        <v>High</v>
      </c>
    </row>
    <row r="222" spans="1:18" x14ac:dyDescent="0.45">
      <c r="A222">
        <v>221</v>
      </c>
      <c r="B222">
        <v>19</v>
      </c>
      <c r="C222" t="s">
        <v>13</v>
      </c>
      <c r="D222" t="s">
        <v>14</v>
      </c>
      <c r="E222" t="s">
        <v>25</v>
      </c>
      <c r="F222">
        <v>6.5</v>
      </c>
      <c r="G222" t="s">
        <v>16</v>
      </c>
      <c r="H222" t="s">
        <v>17</v>
      </c>
      <c r="I222">
        <v>6</v>
      </c>
      <c r="J222">
        <v>5</v>
      </c>
      <c r="K222" t="s">
        <v>24</v>
      </c>
      <c r="L222">
        <v>4</v>
      </c>
      <c r="M222">
        <v>9</v>
      </c>
      <c r="N222" t="str">
        <f t="shared" si="15"/>
        <v>Medium</v>
      </c>
      <c r="O222" t="str">
        <f t="shared" si="16"/>
        <v>Average</v>
      </c>
      <c r="P222" t="str">
        <f t="shared" si="17"/>
        <v>Average</v>
      </c>
      <c r="Q222" t="str">
        <f t="shared" si="18"/>
        <v>Bad</v>
      </c>
      <c r="R222" t="str">
        <f t="shared" si="19"/>
        <v>High</v>
      </c>
    </row>
    <row r="223" spans="1:18" x14ac:dyDescent="0.45">
      <c r="A223">
        <v>222</v>
      </c>
      <c r="B223">
        <v>21</v>
      </c>
      <c r="C223" t="s">
        <v>19</v>
      </c>
      <c r="D223" t="s">
        <v>20</v>
      </c>
      <c r="E223" t="s">
        <v>29</v>
      </c>
      <c r="F223">
        <v>5.8</v>
      </c>
      <c r="G223" t="s">
        <v>26</v>
      </c>
      <c r="H223" t="s">
        <v>17</v>
      </c>
      <c r="I223">
        <v>6.5</v>
      </c>
      <c r="J223">
        <v>6</v>
      </c>
      <c r="K223" t="s">
        <v>18</v>
      </c>
      <c r="L223">
        <v>3</v>
      </c>
      <c r="M223">
        <v>7</v>
      </c>
      <c r="N223" t="str">
        <f t="shared" si="15"/>
        <v>Medium</v>
      </c>
      <c r="O223" t="str">
        <f t="shared" si="16"/>
        <v>High</v>
      </c>
      <c r="P223" t="str">
        <f t="shared" si="17"/>
        <v>Average</v>
      </c>
      <c r="Q223" t="str">
        <f t="shared" si="18"/>
        <v>Bad</v>
      </c>
      <c r="R223" t="str">
        <f t="shared" si="19"/>
        <v>High</v>
      </c>
    </row>
    <row r="224" spans="1:18" x14ac:dyDescent="0.45">
      <c r="A224">
        <v>223</v>
      </c>
      <c r="B224">
        <v>20</v>
      </c>
      <c r="C224" t="s">
        <v>13</v>
      </c>
      <c r="D224" t="s">
        <v>14</v>
      </c>
      <c r="E224" t="s">
        <v>33</v>
      </c>
      <c r="F224">
        <v>4.5</v>
      </c>
      <c r="G224" t="s">
        <v>16</v>
      </c>
      <c r="H224" t="s">
        <v>23</v>
      </c>
      <c r="I224">
        <v>7.5</v>
      </c>
      <c r="J224">
        <v>8</v>
      </c>
      <c r="K224" t="s">
        <v>24</v>
      </c>
      <c r="L224">
        <v>2</v>
      </c>
      <c r="M224">
        <v>5</v>
      </c>
      <c r="N224" t="str">
        <f t="shared" si="15"/>
        <v>Medium</v>
      </c>
      <c r="O224" t="str">
        <f t="shared" si="16"/>
        <v>Average</v>
      </c>
      <c r="P224" t="str">
        <f t="shared" si="17"/>
        <v>High</v>
      </c>
      <c r="Q224" t="str">
        <f t="shared" si="18"/>
        <v>Good</v>
      </c>
      <c r="R224" t="str">
        <f t="shared" si="19"/>
        <v>Medium</v>
      </c>
    </row>
    <row r="225" spans="1:18" x14ac:dyDescent="0.45">
      <c r="A225">
        <v>224</v>
      </c>
      <c r="B225">
        <v>22</v>
      </c>
      <c r="C225" t="s">
        <v>19</v>
      </c>
      <c r="D225" t="s">
        <v>20</v>
      </c>
      <c r="E225" t="s">
        <v>34</v>
      </c>
      <c r="F225">
        <v>4.2</v>
      </c>
      <c r="G225" t="s">
        <v>32</v>
      </c>
      <c r="H225" t="s">
        <v>23</v>
      </c>
      <c r="I225">
        <v>7.8</v>
      </c>
      <c r="J225">
        <v>7</v>
      </c>
      <c r="K225" t="s">
        <v>18</v>
      </c>
      <c r="L225">
        <v>2</v>
      </c>
      <c r="M225">
        <v>4</v>
      </c>
      <c r="N225" t="str">
        <f t="shared" si="15"/>
        <v>Medium</v>
      </c>
      <c r="O225" t="str">
        <f t="shared" si="16"/>
        <v>Average</v>
      </c>
      <c r="P225" t="str">
        <f t="shared" si="17"/>
        <v>High</v>
      </c>
      <c r="Q225" t="str">
        <f t="shared" si="18"/>
        <v>Bad</v>
      </c>
      <c r="R225" t="str">
        <f t="shared" si="19"/>
        <v>Medium</v>
      </c>
    </row>
    <row r="226" spans="1:18" x14ac:dyDescent="0.45">
      <c r="A226">
        <v>225</v>
      </c>
      <c r="B226">
        <v>19</v>
      </c>
      <c r="C226" t="s">
        <v>13</v>
      </c>
      <c r="D226" t="s">
        <v>14</v>
      </c>
      <c r="E226" t="s">
        <v>38</v>
      </c>
      <c r="F226">
        <v>3.8</v>
      </c>
      <c r="G226" t="s">
        <v>140</v>
      </c>
      <c r="H226" t="s">
        <v>23</v>
      </c>
      <c r="I226">
        <v>7.9</v>
      </c>
      <c r="J226">
        <v>8</v>
      </c>
      <c r="K226" t="s">
        <v>24</v>
      </c>
      <c r="L226">
        <v>1</v>
      </c>
      <c r="M226">
        <v>3</v>
      </c>
      <c r="N226" t="str">
        <f t="shared" si="15"/>
        <v>Medium</v>
      </c>
      <c r="O226" t="str">
        <f t="shared" si="16"/>
        <v>High</v>
      </c>
      <c r="P226" t="str">
        <f t="shared" si="17"/>
        <v>High</v>
      </c>
      <c r="Q226" t="str">
        <f t="shared" si="18"/>
        <v>Good</v>
      </c>
      <c r="R226" t="str">
        <f t="shared" si="19"/>
        <v>Less</v>
      </c>
    </row>
    <row r="227" spans="1:18" x14ac:dyDescent="0.45">
      <c r="A227">
        <v>226</v>
      </c>
      <c r="B227">
        <v>21</v>
      </c>
      <c r="C227" t="s">
        <v>19</v>
      </c>
      <c r="D227" t="s">
        <v>20</v>
      </c>
      <c r="E227" t="s">
        <v>42</v>
      </c>
      <c r="F227">
        <v>5.5</v>
      </c>
      <c r="G227" t="s">
        <v>16</v>
      </c>
      <c r="H227" t="s">
        <v>17</v>
      </c>
      <c r="I227">
        <v>6.8</v>
      </c>
      <c r="J227">
        <v>6</v>
      </c>
      <c r="K227" t="s">
        <v>24</v>
      </c>
      <c r="L227">
        <v>3</v>
      </c>
      <c r="M227">
        <v>7</v>
      </c>
      <c r="N227" t="str">
        <f t="shared" si="15"/>
        <v>Medium</v>
      </c>
      <c r="O227" t="str">
        <f t="shared" si="16"/>
        <v>High</v>
      </c>
      <c r="P227" t="str">
        <f t="shared" si="17"/>
        <v>Average</v>
      </c>
      <c r="Q227" t="str">
        <f t="shared" si="18"/>
        <v>Bad</v>
      </c>
      <c r="R227" t="str">
        <f t="shared" si="19"/>
        <v>High</v>
      </c>
    </row>
    <row r="228" spans="1:18" x14ac:dyDescent="0.45">
      <c r="A228">
        <v>227</v>
      </c>
      <c r="B228">
        <v>20</v>
      </c>
      <c r="C228" t="s">
        <v>13</v>
      </c>
      <c r="D228" t="s">
        <v>14</v>
      </c>
      <c r="E228" t="s">
        <v>39</v>
      </c>
      <c r="F228">
        <v>5.2</v>
      </c>
      <c r="G228" t="s">
        <v>141</v>
      </c>
      <c r="H228" t="s">
        <v>17</v>
      </c>
      <c r="I228">
        <v>6.5</v>
      </c>
      <c r="J228">
        <v>6</v>
      </c>
      <c r="K228" t="s">
        <v>18</v>
      </c>
      <c r="L228">
        <v>3</v>
      </c>
      <c r="M228">
        <v>6</v>
      </c>
      <c r="N228" t="str">
        <f t="shared" si="15"/>
        <v>Medium</v>
      </c>
      <c r="O228" t="str">
        <f t="shared" si="16"/>
        <v>High</v>
      </c>
      <c r="P228" t="str">
        <f t="shared" si="17"/>
        <v>Average</v>
      </c>
      <c r="Q228" t="str">
        <f t="shared" si="18"/>
        <v>Bad</v>
      </c>
      <c r="R228" t="str">
        <f t="shared" si="19"/>
        <v>Medium</v>
      </c>
    </row>
    <row r="229" spans="1:18" x14ac:dyDescent="0.45">
      <c r="A229">
        <v>228</v>
      </c>
      <c r="B229">
        <v>22</v>
      </c>
      <c r="C229" t="s">
        <v>19</v>
      </c>
      <c r="D229" t="s">
        <v>20</v>
      </c>
      <c r="E229" t="s">
        <v>44</v>
      </c>
      <c r="F229">
        <v>4.8</v>
      </c>
      <c r="G229" t="s">
        <v>142</v>
      </c>
      <c r="H229" t="s">
        <v>23</v>
      </c>
      <c r="I229">
        <v>7.2</v>
      </c>
      <c r="J229">
        <v>7</v>
      </c>
      <c r="K229" t="s">
        <v>24</v>
      </c>
      <c r="L229">
        <v>2</v>
      </c>
      <c r="M229">
        <v>5</v>
      </c>
      <c r="N229" t="str">
        <f t="shared" si="15"/>
        <v>Medium</v>
      </c>
      <c r="O229" t="str">
        <f t="shared" si="16"/>
        <v>Average</v>
      </c>
      <c r="P229" t="str">
        <f t="shared" si="17"/>
        <v>High</v>
      </c>
      <c r="Q229" t="str">
        <f t="shared" si="18"/>
        <v>Bad</v>
      </c>
      <c r="R229" t="str">
        <f t="shared" si="19"/>
        <v>Medium</v>
      </c>
    </row>
    <row r="230" spans="1:18" x14ac:dyDescent="0.45">
      <c r="A230">
        <v>229</v>
      </c>
      <c r="B230">
        <v>19</v>
      </c>
      <c r="C230" t="s">
        <v>13</v>
      </c>
      <c r="D230" t="s">
        <v>14</v>
      </c>
      <c r="E230" t="s">
        <v>25</v>
      </c>
      <c r="F230">
        <v>7</v>
      </c>
      <c r="G230" t="s">
        <v>26</v>
      </c>
      <c r="H230" t="s">
        <v>17</v>
      </c>
      <c r="I230">
        <v>5.8</v>
      </c>
      <c r="J230">
        <v>4</v>
      </c>
      <c r="K230" t="s">
        <v>18</v>
      </c>
      <c r="L230">
        <v>4</v>
      </c>
      <c r="M230">
        <v>9</v>
      </c>
      <c r="N230" t="str">
        <f t="shared" si="15"/>
        <v>High</v>
      </c>
      <c r="O230" t="str">
        <f t="shared" si="16"/>
        <v>Average</v>
      </c>
      <c r="P230" t="str">
        <f t="shared" si="17"/>
        <v>Average</v>
      </c>
      <c r="Q230" t="str">
        <f t="shared" si="18"/>
        <v>Worst</v>
      </c>
      <c r="R230" t="str">
        <f t="shared" si="19"/>
        <v>High</v>
      </c>
    </row>
    <row r="231" spans="1:18" x14ac:dyDescent="0.45">
      <c r="A231">
        <v>230</v>
      </c>
      <c r="B231">
        <v>21</v>
      </c>
      <c r="C231" t="s">
        <v>19</v>
      </c>
      <c r="D231" t="s">
        <v>20</v>
      </c>
      <c r="E231" t="s">
        <v>29</v>
      </c>
      <c r="F231">
        <v>5.5</v>
      </c>
      <c r="G231" t="s">
        <v>16</v>
      </c>
      <c r="H231" t="s">
        <v>17</v>
      </c>
      <c r="I231">
        <v>6.7</v>
      </c>
      <c r="J231">
        <v>6</v>
      </c>
      <c r="K231" t="s">
        <v>24</v>
      </c>
      <c r="L231">
        <v>3</v>
      </c>
      <c r="M231">
        <v>7</v>
      </c>
      <c r="N231" t="str">
        <f t="shared" si="15"/>
        <v>Medium</v>
      </c>
      <c r="O231" t="str">
        <f t="shared" si="16"/>
        <v>High</v>
      </c>
      <c r="P231" t="str">
        <f t="shared" si="17"/>
        <v>Average</v>
      </c>
      <c r="Q231" t="str">
        <f t="shared" si="18"/>
        <v>Bad</v>
      </c>
      <c r="R231" t="str">
        <f t="shared" si="19"/>
        <v>High</v>
      </c>
    </row>
    <row r="232" spans="1:18" x14ac:dyDescent="0.45">
      <c r="A232">
        <v>231</v>
      </c>
      <c r="B232">
        <v>20</v>
      </c>
      <c r="C232" t="s">
        <v>13</v>
      </c>
      <c r="D232" t="s">
        <v>14</v>
      </c>
      <c r="E232" t="s">
        <v>33</v>
      </c>
      <c r="F232">
        <v>4.7</v>
      </c>
      <c r="G232" t="s">
        <v>32</v>
      </c>
      <c r="H232" t="s">
        <v>23</v>
      </c>
      <c r="I232">
        <v>7.4</v>
      </c>
      <c r="J232">
        <v>7</v>
      </c>
      <c r="K232" t="s">
        <v>18</v>
      </c>
      <c r="L232">
        <v>2</v>
      </c>
      <c r="M232">
        <v>5</v>
      </c>
      <c r="N232" t="str">
        <f t="shared" si="15"/>
        <v>Medium</v>
      </c>
      <c r="O232" t="str">
        <f t="shared" si="16"/>
        <v>Average</v>
      </c>
      <c r="P232" t="str">
        <f t="shared" si="17"/>
        <v>High</v>
      </c>
      <c r="Q232" t="str">
        <f t="shared" si="18"/>
        <v>Bad</v>
      </c>
      <c r="R232" t="str">
        <f t="shared" si="19"/>
        <v>Medium</v>
      </c>
    </row>
    <row r="233" spans="1:18" x14ac:dyDescent="0.45">
      <c r="A233">
        <v>232</v>
      </c>
      <c r="B233">
        <v>22</v>
      </c>
      <c r="C233" t="s">
        <v>19</v>
      </c>
      <c r="D233" t="s">
        <v>20</v>
      </c>
      <c r="E233" t="s">
        <v>34</v>
      </c>
      <c r="F233">
        <v>4</v>
      </c>
      <c r="G233" t="s">
        <v>16</v>
      </c>
      <c r="H233" t="s">
        <v>23</v>
      </c>
      <c r="I233">
        <v>7.9</v>
      </c>
      <c r="J233">
        <v>8</v>
      </c>
      <c r="K233" t="s">
        <v>24</v>
      </c>
      <c r="L233">
        <v>1</v>
      </c>
      <c r="M233">
        <v>4</v>
      </c>
      <c r="N233" t="str">
        <f t="shared" si="15"/>
        <v>Medium</v>
      </c>
      <c r="O233" t="str">
        <f t="shared" si="16"/>
        <v>Average</v>
      </c>
      <c r="P233" t="str">
        <f t="shared" si="17"/>
        <v>High</v>
      </c>
      <c r="Q233" t="str">
        <f t="shared" si="18"/>
        <v>Good</v>
      </c>
      <c r="R233" t="str">
        <f t="shared" si="19"/>
        <v>Medium</v>
      </c>
    </row>
    <row r="234" spans="1:18" x14ac:dyDescent="0.45">
      <c r="A234">
        <v>233</v>
      </c>
      <c r="B234">
        <v>19</v>
      </c>
      <c r="C234" t="s">
        <v>13</v>
      </c>
      <c r="D234" t="s">
        <v>14</v>
      </c>
      <c r="E234" t="s">
        <v>38</v>
      </c>
      <c r="F234">
        <v>3.5</v>
      </c>
      <c r="G234" t="s">
        <v>140</v>
      </c>
      <c r="H234" t="s">
        <v>23</v>
      </c>
      <c r="I234">
        <v>8</v>
      </c>
      <c r="J234">
        <v>8</v>
      </c>
      <c r="K234" t="s">
        <v>24</v>
      </c>
      <c r="L234">
        <v>1</v>
      </c>
      <c r="M234">
        <v>3</v>
      </c>
      <c r="N234" t="str">
        <f t="shared" si="15"/>
        <v>Low</v>
      </c>
      <c r="O234" t="str">
        <f t="shared" si="16"/>
        <v>High</v>
      </c>
      <c r="P234" t="str">
        <f t="shared" si="17"/>
        <v>High</v>
      </c>
      <c r="Q234" t="str">
        <f t="shared" si="18"/>
        <v>Good</v>
      </c>
      <c r="R234" t="str">
        <f t="shared" si="19"/>
        <v>Less</v>
      </c>
    </row>
    <row r="235" spans="1:18" x14ac:dyDescent="0.45">
      <c r="A235">
        <v>234</v>
      </c>
      <c r="B235">
        <v>21</v>
      </c>
      <c r="C235" t="s">
        <v>19</v>
      </c>
      <c r="D235" t="s">
        <v>20</v>
      </c>
      <c r="E235" t="s">
        <v>42</v>
      </c>
      <c r="F235">
        <v>5.7</v>
      </c>
      <c r="G235" t="s">
        <v>26</v>
      </c>
      <c r="H235" t="s">
        <v>17</v>
      </c>
      <c r="I235">
        <v>6.5</v>
      </c>
      <c r="J235">
        <v>5</v>
      </c>
      <c r="K235" t="s">
        <v>18</v>
      </c>
      <c r="L235">
        <v>3</v>
      </c>
      <c r="M235">
        <v>8</v>
      </c>
      <c r="N235" t="str">
        <f t="shared" si="15"/>
        <v>Medium</v>
      </c>
      <c r="O235" t="str">
        <f t="shared" si="16"/>
        <v>High</v>
      </c>
      <c r="P235" t="str">
        <f t="shared" si="17"/>
        <v>Average</v>
      </c>
      <c r="Q235" t="str">
        <f t="shared" si="18"/>
        <v>Bad</v>
      </c>
      <c r="R235" t="str">
        <f t="shared" si="19"/>
        <v>High</v>
      </c>
    </row>
    <row r="236" spans="1:18" x14ac:dyDescent="0.45">
      <c r="A236">
        <v>235</v>
      </c>
      <c r="B236">
        <v>20</v>
      </c>
      <c r="C236" t="s">
        <v>13</v>
      </c>
      <c r="D236" t="s">
        <v>14</v>
      </c>
      <c r="E236" t="s">
        <v>39</v>
      </c>
      <c r="F236">
        <v>5</v>
      </c>
      <c r="G236" t="s">
        <v>141</v>
      </c>
      <c r="H236" t="s">
        <v>17</v>
      </c>
      <c r="I236">
        <v>6.8</v>
      </c>
      <c r="J236">
        <v>6</v>
      </c>
      <c r="K236" t="s">
        <v>24</v>
      </c>
      <c r="L236">
        <v>3</v>
      </c>
      <c r="M236">
        <v>6</v>
      </c>
      <c r="N236" t="str">
        <f t="shared" si="15"/>
        <v>Medium</v>
      </c>
      <c r="O236" t="str">
        <f t="shared" si="16"/>
        <v>High</v>
      </c>
      <c r="P236" t="str">
        <f t="shared" si="17"/>
        <v>Average</v>
      </c>
      <c r="Q236" t="str">
        <f t="shared" si="18"/>
        <v>Bad</v>
      </c>
      <c r="R236" t="str">
        <f t="shared" si="19"/>
        <v>Medium</v>
      </c>
    </row>
    <row r="237" spans="1:18" x14ac:dyDescent="0.45">
      <c r="A237">
        <v>236</v>
      </c>
      <c r="B237">
        <v>22</v>
      </c>
      <c r="C237" t="s">
        <v>19</v>
      </c>
      <c r="D237" t="s">
        <v>20</v>
      </c>
      <c r="E237" t="s">
        <v>44</v>
      </c>
      <c r="F237">
        <v>4.5</v>
      </c>
      <c r="G237" t="s">
        <v>142</v>
      </c>
      <c r="H237" t="s">
        <v>23</v>
      </c>
      <c r="I237">
        <v>7.4</v>
      </c>
      <c r="J237">
        <v>7</v>
      </c>
      <c r="K237" t="s">
        <v>18</v>
      </c>
      <c r="L237">
        <v>2</v>
      </c>
      <c r="M237">
        <v>5</v>
      </c>
      <c r="N237" t="str">
        <f t="shared" si="15"/>
        <v>Medium</v>
      </c>
      <c r="O237" t="str">
        <f t="shared" si="16"/>
        <v>Average</v>
      </c>
      <c r="P237" t="str">
        <f t="shared" si="17"/>
        <v>High</v>
      </c>
      <c r="Q237" t="str">
        <f t="shared" si="18"/>
        <v>Bad</v>
      </c>
      <c r="R237" t="str">
        <f t="shared" si="19"/>
        <v>Medium</v>
      </c>
    </row>
    <row r="238" spans="1:18" x14ac:dyDescent="0.45">
      <c r="A238">
        <v>237</v>
      </c>
      <c r="B238">
        <v>19</v>
      </c>
      <c r="C238" t="s">
        <v>13</v>
      </c>
      <c r="D238" t="s">
        <v>14</v>
      </c>
      <c r="E238" t="s">
        <v>25</v>
      </c>
      <c r="F238">
        <v>6.8</v>
      </c>
      <c r="G238" t="s">
        <v>16</v>
      </c>
      <c r="H238" t="s">
        <v>17</v>
      </c>
      <c r="I238">
        <v>5.9</v>
      </c>
      <c r="J238">
        <v>4</v>
      </c>
      <c r="K238" t="s">
        <v>24</v>
      </c>
      <c r="L238">
        <v>4</v>
      </c>
      <c r="M238">
        <v>9</v>
      </c>
      <c r="N238" t="str">
        <f t="shared" si="15"/>
        <v>High</v>
      </c>
      <c r="O238" t="str">
        <f t="shared" si="16"/>
        <v>Average</v>
      </c>
      <c r="P238" t="str">
        <f t="shared" si="17"/>
        <v>Average</v>
      </c>
      <c r="Q238" t="str">
        <f t="shared" si="18"/>
        <v>Worst</v>
      </c>
      <c r="R238" t="str">
        <f t="shared" si="19"/>
        <v>High</v>
      </c>
    </row>
    <row r="239" spans="1:18" x14ac:dyDescent="0.45">
      <c r="A239">
        <v>238</v>
      </c>
      <c r="B239">
        <v>21</v>
      </c>
      <c r="C239" t="s">
        <v>19</v>
      </c>
      <c r="D239" t="s">
        <v>20</v>
      </c>
      <c r="E239" t="s">
        <v>29</v>
      </c>
      <c r="F239">
        <v>5.6</v>
      </c>
      <c r="G239" t="s">
        <v>32</v>
      </c>
      <c r="H239" t="s">
        <v>17</v>
      </c>
      <c r="I239">
        <v>6.6</v>
      </c>
      <c r="J239">
        <v>6</v>
      </c>
      <c r="K239" t="s">
        <v>18</v>
      </c>
      <c r="L239">
        <v>3</v>
      </c>
      <c r="M239">
        <v>7</v>
      </c>
      <c r="N239" t="str">
        <f t="shared" si="15"/>
        <v>Medium</v>
      </c>
      <c r="O239" t="str">
        <f t="shared" si="16"/>
        <v>High</v>
      </c>
      <c r="P239" t="str">
        <f t="shared" si="17"/>
        <v>Average</v>
      </c>
      <c r="Q239" t="str">
        <f t="shared" si="18"/>
        <v>Bad</v>
      </c>
      <c r="R239" t="str">
        <f t="shared" si="19"/>
        <v>High</v>
      </c>
    </row>
    <row r="240" spans="1:18" x14ac:dyDescent="0.45">
      <c r="A240">
        <v>239</v>
      </c>
      <c r="B240">
        <v>20</v>
      </c>
      <c r="C240" t="s">
        <v>13</v>
      </c>
      <c r="D240" t="s">
        <v>14</v>
      </c>
      <c r="E240" t="s">
        <v>33</v>
      </c>
      <c r="F240">
        <v>4.5999999999999996</v>
      </c>
      <c r="G240" t="s">
        <v>16</v>
      </c>
      <c r="H240" t="s">
        <v>23</v>
      </c>
      <c r="I240">
        <v>7.3</v>
      </c>
      <c r="J240">
        <v>7</v>
      </c>
      <c r="K240" t="s">
        <v>24</v>
      </c>
      <c r="L240">
        <v>2</v>
      </c>
      <c r="M240">
        <v>5</v>
      </c>
      <c r="N240" t="str">
        <f t="shared" si="15"/>
        <v>Medium</v>
      </c>
      <c r="O240" t="str">
        <f t="shared" si="16"/>
        <v>Average</v>
      </c>
      <c r="P240" t="str">
        <f t="shared" si="17"/>
        <v>High</v>
      </c>
      <c r="Q240" t="str">
        <f t="shared" si="18"/>
        <v>Bad</v>
      </c>
      <c r="R240" t="str">
        <f t="shared" si="19"/>
        <v>Medium</v>
      </c>
    </row>
    <row r="241" spans="1:18" x14ac:dyDescent="0.45">
      <c r="A241">
        <v>240</v>
      </c>
      <c r="B241">
        <v>22</v>
      </c>
      <c r="C241" t="s">
        <v>19</v>
      </c>
      <c r="D241" t="s">
        <v>20</v>
      </c>
      <c r="E241" t="s">
        <v>34</v>
      </c>
      <c r="F241">
        <v>4.0999999999999996</v>
      </c>
      <c r="G241" t="s">
        <v>32</v>
      </c>
      <c r="H241" t="s">
        <v>23</v>
      </c>
      <c r="I241">
        <v>7.7</v>
      </c>
      <c r="J241">
        <v>8</v>
      </c>
      <c r="K241" t="s">
        <v>18</v>
      </c>
      <c r="L241">
        <v>2</v>
      </c>
      <c r="M241">
        <v>4</v>
      </c>
      <c r="N241" t="str">
        <f t="shared" si="15"/>
        <v>Medium</v>
      </c>
      <c r="O241" t="str">
        <f t="shared" si="16"/>
        <v>Average</v>
      </c>
      <c r="P241" t="str">
        <f t="shared" si="17"/>
        <v>High</v>
      </c>
      <c r="Q241" t="str">
        <f t="shared" si="18"/>
        <v>Good</v>
      </c>
      <c r="R241" t="str">
        <f t="shared" si="19"/>
        <v>Medium</v>
      </c>
    </row>
    <row r="242" spans="1:18" x14ac:dyDescent="0.45">
      <c r="A242">
        <v>241</v>
      </c>
      <c r="B242">
        <v>19</v>
      </c>
      <c r="C242" t="s">
        <v>13</v>
      </c>
      <c r="D242" t="s">
        <v>14</v>
      </c>
      <c r="E242" t="s">
        <v>38</v>
      </c>
      <c r="F242">
        <v>3.7</v>
      </c>
      <c r="G242" t="s">
        <v>140</v>
      </c>
      <c r="H242" t="s">
        <v>23</v>
      </c>
      <c r="I242">
        <v>7.8</v>
      </c>
      <c r="J242">
        <v>8</v>
      </c>
      <c r="K242" t="s">
        <v>24</v>
      </c>
      <c r="L242">
        <v>1</v>
      </c>
      <c r="M242">
        <v>3</v>
      </c>
      <c r="N242" t="str">
        <f t="shared" si="15"/>
        <v>Medium</v>
      </c>
      <c r="O242" t="str">
        <f t="shared" si="16"/>
        <v>High</v>
      </c>
      <c r="P242" t="str">
        <f t="shared" si="17"/>
        <v>High</v>
      </c>
      <c r="Q242" t="str">
        <f t="shared" si="18"/>
        <v>Good</v>
      </c>
      <c r="R242" t="str">
        <f t="shared" si="19"/>
        <v>Less</v>
      </c>
    </row>
    <row r="243" spans="1:18" x14ac:dyDescent="0.45">
      <c r="A243">
        <v>242</v>
      </c>
      <c r="B243">
        <v>21</v>
      </c>
      <c r="C243" t="s">
        <v>19</v>
      </c>
      <c r="D243" t="s">
        <v>20</v>
      </c>
      <c r="E243" t="s">
        <v>42</v>
      </c>
      <c r="F243">
        <v>5.4</v>
      </c>
      <c r="G243" t="s">
        <v>16</v>
      </c>
      <c r="H243" t="s">
        <v>17</v>
      </c>
      <c r="I243">
        <v>6.7</v>
      </c>
      <c r="J243">
        <v>5</v>
      </c>
      <c r="K243" t="s">
        <v>24</v>
      </c>
      <c r="L243">
        <v>3</v>
      </c>
      <c r="M243">
        <v>7</v>
      </c>
      <c r="N243" t="str">
        <f t="shared" si="15"/>
        <v>Medium</v>
      </c>
      <c r="O243" t="str">
        <f t="shared" si="16"/>
        <v>High</v>
      </c>
      <c r="P243" t="str">
        <f t="shared" si="17"/>
        <v>Average</v>
      </c>
      <c r="Q243" t="str">
        <f t="shared" si="18"/>
        <v>Bad</v>
      </c>
      <c r="R243" t="str">
        <f t="shared" si="19"/>
        <v>High</v>
      </c>
    </row>
    <row r="244" spans="1:18" x14ac:dyDescent="0.45">
      <c r="A244">
        <v>243</v>
      </c>
      <c r="B244">
        <v>20</v>
      </c>
      <c r="C244" t="s">
        <v>13</v>
      </c>
      <c r="D244" t="s">
        <v>14</v>
      </c>
      <c r="E244" t="s">
        <v>39</v>
      </c>
      <c r="F244">
        <v>5.0999999999999996</v>
      </c>
      <c r="G244" t="s">
        <v>141</v>
      </c>
      <c r="H244" t="s">
        <v>17</v>
      </c>
      <c r="I244">
        <v>6.6</v>
      </c>
      <c r="J244">
        <v>6</v>
      </c>
      <c r="K244" t="s">
        <v>18</v>
      </c>
      <c r="L244">
        <v>3</v>
      </c>
      <c r="M244">
        <v>6</v>
      </c>
      <c r="N244" t="str">
        <f t="shared" si="15"/>
        <v>Medium</v>
      </c>
      <c r="O244" t="str">
        <f t="shared" si="16"/>
        <v>High</v>
      </c>
      <c r="P244" t="str">
        <f t="shared" si="17"/>
        <v>Average</v>
      </c>
      <c r="Q244" t="str">
        <f t="shared" si="18"/>
        <v>Bad</v>
      </c>
      <c r="R244" t="str">
        <f t="shared" si="19"/>
        <v>Medium</v>
      </c>
    </row>
    <row r="245" spans="1:18" x14ac:dyDescent="0.45">
      <c r="A245">
        <v>244</v>
      </c>
      <c r="B245">
        <v>22</v>
      </c>
      <c r="C245" t="s">
        <v>19</v>
      </c>
      <c r="D245" t="s">
        <v>20</v>
      </c>
      <c r="E245" t="s">
        <v>44</v>
      </c>
      <c r="F245">
        <v>4.7</v>
      </c>
      <c r="G245" t="s">
        <v>142</v>
      </c>
      <c r="H245" t="s">
        <v>23</v>
      </c>
      <c r="I245">
        <v>7.3</v>
      </c>
      <c r="J245">
        <v>7</v>
      </c>
      <c r="K245" t="s">
        <v>24</v>
      </c>
      <c r="L245">
        <v>2</v>
      </c>
      <c r="M245">
        <v>5</v>
      </c>
      <c r="N245" t="str">
        <f t="shared" si="15"/>
        <v>Medium</v>
      </c>
      <c r="O245" t="str">
        <f t="shared" si="16"/>
        <v>Average</v>
      </c>
      <c r="P245" t="str">
        <f t="shared" si="17"/>
        <v>High</v>
      </c>
      <c r="Q245" t="str">
        <f t="shared" si="18"/>
        <v>Bad</v>
      </c>
      <c r="R245" t="str">
        <f t="shared" si="19"/>
        <v>Medium</v>
      </c>
    </row>
    <row r="246" spans="1:18" x14ac:dyDescent="0.45">
      <c r="A246">
        <v>245</v>
      </c>
      <c r="B246">
        <v>19</v>
      </c>
      <c r="C246" t="s">
        <v>13</v>
      </c>
      <c r="D246" t="s">
        <v>14</v>
      </c>
      <c r="E246" t="s">
        <v>25</v>
      </c>
      <c r="F246">
        <v>6.9</v>
      </c>
      <c r="G246" t="s">
        <v>26</v>
      </c>
      <c r="H246" t="s">
        <v>17</v>
      </c>
      <c r="I246">
        <v>5.7</v>
      </c>
      <c r="J246">
        <v>4</v>
      </c>
      <c r="K246" t="s">
        <v>18</v>
      </c>
      <c r="L246">
        <v>4</v>
      </c>
      <c r="M246">
        <v>9</v>
      </c>
      <c r="N246" t="str">
        <f t="shared" si="15"/>
        <v>High</v>
      </c>
      <c r="O246" t="str">
        <f t="shared" si="16"/>
        <v>Average</v>
      </c>
      <c r="P246" t="str">
        <f t="shared" si="17"/>
        <v>Average</v>
      </c>
      <c r="Q246" t="str">
        <f t="shared" si="18"/>
        <v>Worst</v>
      </c>
      <c r="R246" t="str">
        <f t="shared" si="19"/>
        <v>High</v>
      </c>
    </row>
    <row r="247" spans="1:18" x14ac:dyDescent="0.45">
      <c r="A247">
        <v>246</v>
      </c>
      <c r="B247">
        <v>21</v>
      </c>
      <c r="C247" t="s">
        <v>19</v>
      </c>
      <c r="D247" t="s">
        <v>20</v>
      </c>
      <c r="E247" t="s">
        <v>29</v>
      </c>
      <c r="F247">
        <v>5.7</v>
      </c>
      <c r="G247" t="s">
        <v>16</v>
      </c>
      <c r="H247" t="s">
        <v>17</v>
      </c>
      <c r="I247">
        <v>6.4</v>
      </c>
      <c r="J247">
        <v>6</v>
      </c>
      <c r="K247" t="s">
        <v>24</v>
      </c>
      <c r="L247">
        <v>3</v>
      </c>
      <c r="M247">
        <v>7</v>
      </c>
      <c r="N247" t="str">
        <f t="shared" si="15"/>
        <v>Medium</v>
      </c>
      <c r="O247" t="str">
        <f t="shared" si="16"/>
        <v>High</v>
      </c>
      <c r="P247" t="str">
        <f t="shared" si="17"/>
        <v>Average</v>
      </c>
      <c r="Q247" t="str">
        <f t="shared" si="18"/>
        <v>Bad</v>
      </c>
      <c r="R247" t="str">
        <f t="shared" si="19"/>
        <v>High</v>
      </c>
    </row>
    <row r="248" spans="1:18" x14ac:dyDescent="0.45">
      <c r="A248">
        <v>247</v>
      </c>
      <c r="B248">
        <v>20</v>
      </c>
      <c r="C248" t="s">
        <v>13</v>
      </c>
      <c r="D248" t="s">
        <v>14</v>
      </c>
      <c r="E248" t="s">
        <v>33</v>
      </c>
      <c r="F248">
        <v>4.8</v>
      </c>
      <c r="G248" t="s">
        <v>32</v>
      </c>
      <c r="H248" t="s">
        <v>23</v>
      </c>
      <c r="I248">
        <v>7.2</v>
      </c>
      <c r="J248">
        <v>7</v>
      </c>
      <c r="K248" t="s">
        <v>18</v>
      </c>
      <c r="L248">
        <v>2</v>
      </c>
      <c r="M248">
        <v>5</v>
      </c>
      <c r="N248" t="str">
        <f t="shared" si="15"/>
        <v>Medium</v>
      </c>
      <c r="O248" t="str">
        <f t="shared" si="16"/>
        <v>Average</v>
      </c>
      <c r="P248" t="str">
        <f t="shared" si="17"/>
        <v>High</v>
      </c>
      <c r="Q248" t="str">
        <f t="shared" si="18"/>
        <v>Bad</v>
      </c>
      <c r="R248" t="str">
        <f t="shared" si="19"/>
        <v>Medium</v>
      </c>
    </row>
    <row r="249" spans="1:18" x14ac:dyDescent="0.45">
      <c r="A249">
        <v>248</v>
      </c>
      <c r="B249">
        <v>22</v>
      </c>
      <c r="C249" t="s">
        <v>19</v>
      </c>
      <c r="D249" t="s">
        <v>20</v>
      </c>
      <c r="E249" t="s">
        <v>34</v>
      </c>
      <c r="F249">
        <v>3.9</v>
      </c>
      <c r="G249" t="s">
        <v>16</v>
      </c>
      <c r="H249" t="s">
        <v>23</v>
      </c>
      <c r="I249">
        <v>7.8</v>
      </c>
      <c r="J249">
        <v>8</v>
      </c>
      <c r="K249" t="s">
        <v>24</v>
      </c>
      <c r="L249">
        <v>1</v>
      </c>
      <c r="M249">
        <v>4</v>
      </c>
      <c r="N249" t="str">
        <f t="shared" si="15"/>
        <v>Medium</v>
      </c>
      <c r="O249" t="str">
        <f t="shared" si="16"/>
        <v>Average</v>
      </c>
      <c r="P249" t="str">
        <f t="shared" si="17"/>
        <v>High</v>
      </c>
      <c r="Q249" t="str">
        <f t="shared" si="18"/>
        <v>Good</v>
      </c>
      <c r="R249" t="str">
        <f t="shared" si="19"/>
        <v>Medium</v>
      </c>
    </row>
    <row r="250" spans="1:18" x14ac:dyDescent="0.45">
      <c r="A250">
        <v>249</v>
      </c>
      <c r="B250">
        <v>19</v>
      </c>
      <c r="C250" t="s">
        <v>13</v>
      </c>
      <c r="D250" t="s">
        <v>14</v>
      </c>
      <c r="E250" t="s">
        <v>38</v>
      </c>
      <c r="F250">
        <v>3.6</v>
      </c>
      <c r="G250" t="s">
        <v>140</v>
      </c>
      <c r="H250" t="s">
        <v>23</v>
      </c>
      <c r="I250">
        <v>8.1</v>
      </c>
      <c r="J250">
        <v>8</v>
      </c>
      <c r="K250" t="s">
        <v>24</v>
      </c>
      <c r="L250">
        <v>1</v>
      </c>
      <c r="M250">
        <v>3</v>
      </c>
      <c r="N250" t="str">
        <f t="shared" si="15"/>
        <v>Medium</v>
      </c>
      <c r="O250" t="str">
        <f t="shared" si="16"/>
        <v>High</v>
      </c>
      <c r="P250" t="str">
        <f t="shared" si="17"/>
        <v>High</v>
      </c>
      <c r="Q250" t="str">
        <f t="shared" si="18"/>
        <v>Good</v>
      </c>
      <c r="R250" t="str">
        <f t="shared" si="19"/>
        <v>Less</v>
      </c>
    </row>
    <row r="251" spans="1:18" x14ac:dyDescent="0.45">
      <c r="A251">
        <v>250</v>
      </c>
      <c r="B251">
        <v>21</v>
      </c>
      <c r="C251" t="s">
        <v>19</v>
      </c>
      <c r="D251" t="s">
        <v>20</v>
      </c>
      <c r="E251" t="s">
        <v>42</v>
      </c>
      <c r="F251">
        <v>5.6</v>
      </c>
      <c r="G251" t="s">
        <v>26</v>
      </c>
      <c r="H251" t="s">
        <v>17</v>
      </c>
      <c r="I251">
        <v>6.6</v>
      </c>
      <c r="J251">
        <v>5</v>
      </c>
      <c r="K251" t="s">
        <v>18</v>
      </c>
      <c r="L251">
        <v>3</v>
      </c>
      <c r="M251">
        <v>8</v>
      </c>
      <c r="N251" t="str">
        <f t="shared" si="15"/>
        <v>Medium</v>
      </c>
      <c r="O251" t="str">
        <f t="shared" si="16"/>
        <v>High</v>
      </c>
      <c r="P251" t="str">
        <f t="shared" si="17"/>
        <v>Average</v>
      </c>
      <c r="Q251" t="str">
        <f t="shared" si="18"/>
        <v>Bad</v>
      </c>
      <c r="R251" t="str">
        <f t="shared" si="19"/>
        <v>High</v>
      </c>
    </row>
    <row r="252" spans="1:18" x14ac:dyDescent="0.45">
      <c r="A252">
        <v>251</v>
      </c>
      <c r="B252">
        <v>20</v>
      </c>
      <c r="C252" t="s">
        <v>13</v>
      </c>
      <c r="D252" t="s">
        <v>14</v>
      </c>
      <c r="E252" t="s">
        <v>39</v>
      </c>
      <c r="F252">
        <v>4.9000000000000004</v>
      </c>
      <c r="G252" t="s">
        <v>141</v>
      </c>
      <c r="H252" t="s">
        <v>17</v>
      </c>
      <c r="I252">
        <v>6.9</v>
      </c>
      <c r="J252">
        <v>6</v>
      </c>
      <c r="K252" t="s">
        <v>24</v>
      </c>
      <c r="L252">
        <v>3</v>
      </c>
      <c r="M252">
        <v>6</v>
      </c>
      <c r="N252" t="str">
        <f t="shared" si="15"/>
        <v>Medium</v>
      </c>
      <c r="O252" t="str">
        <f t="shared" si="16"/>
        <v>High</v>
      </c>
      <c r="P252" t="str">
        <f t="shared" si="17"/>
        <v>Average</v>
      </c>
      <c r="Q252" t="str">
        <f t="shared" si="18"/>
        <v>Bad</v>
      </c>
      <c r="R252" t="str">
        <f t="shared" si="19"/>
        <v>Medium</v>
      </c>
    </row>
    <row r="253" spans="1:18" x14ac:dyDescent="0.45">
      <c r="A253">
        <v>252</v>
      </c>
      <c r="B253">
        <v>22</v>
      </c>
      <c r="C253" t="s">
        <v>19</v>
      </c>
      <c r="D253" t="s">
        <v>20</v>
      </c>
      <c r="E253" t="s">
        <v>44</v>
      </c>
      <c r="F253">
        <v>4.5999999999999996</v>
      </c>
      <c r="G253" t="s">
        <v>142</v>
      </c>
      <c r="H253" t="s">
        <v>23</v>
      </c>
      <c r="I253">
        <v>7.5</v>
      </c>
      <c r="J253">
        <v>7</v>
      </c>
      <c r="K253" t="s">
        <v>18</v>
      </c>
      <c r="L253">
        <v>2</v>
      </c>
      <c r="M253">
        <v>5</v>
      </c>
      <c r="N253" t="str">
        <f t="shared" si="15"/>
        <v>Medium</v>
      </c>
      <c r="O253" t="str">
        <f t="shared" si="16"/>
        <v>Average</v>
      </c>
      <c r="P253" t="str">
        <f t="shared" si="17"/>
        <v>High</v>
      </c>
      <c r="Q253" t="str">
        <f t="shared" si="18"/>
        <v>Bad</v>
      </c>
      <c r="R253" t="str">
        <f t="shared" si="19"/>
        <v>Medium</v>
      </c>
    </row>
    <row r="254" spans="1:18" x14ac:dyDescent="0.45">
      <c r="A254">
        <v>253</v>
      </c>
      <c r="B254">
        <v>19</v>
      </c>
      <c r="C254" t="s">
        <v>13</v>
      </c>
      <c r="D254" t="s">
        <v>14</v>
      </c>
      <c r="E254" t="s">
        <v>25</v>
      </c>
      <c r="F254">
        <v>6.7</v>
      </c>
      <c r="G254" t="s">
        <v>16</v>
      </c>
      <c r="H254" t="s">
        <v>17</v>
      </c>
      <c r="I254">
        <v>5.8</v>
      </c>
      <c r="J254">
        <v>4</v>
      </c>
      <c r="K254" t="s">
        <v>24</v>
      </c>
      <c r="L254">
        <v>4</v>
      </c>
      <c r="M254">
        <v>9</v>
      </c>
      <c r="N254" t="str">
        <f t="shared" si="15"/>
        <v>High</v>
      </c>
      <c r="O254" t="str">
        <f t="shared" si="16"/>
        <v>Average</v>
      </c>
      <c r="P254" t="str">
        <f t="shared" si="17"/>
        <v>Average</v>
      </c>
      <c r="Q254" t="str">
        <f t="shared" si="18"/>
        <v>Worst</v>
      </c>
      <c r="R254" t="str">
        <f t="shared" si="19"/>
        <v>High</v>
      </c>
    </row>
    <row r="255" spans="1:18" x14ac:dyDescent="0.45">
      <c r="A255">
        <v>254</v>
      </c>
      <c r="B255">
        <v>21</v>
      </c>
      <c r="C255" t="s">
        <v>19</v>
      </c>
      <c r="D255" t="s">
        <v>20</v>
      </c>
      <c r="E255" t="s">
        <v>29</v>
      </c>
      <c r="F255">
        <v>5.4</v>
      </c>
      <c r="G255" t="s">
        <v>32</v>
      </c>
      <c r="H255" t="s">
        <v>17</v>
      </c>
      <c r="I255">
        <v>6.5</v>
      </c>
      <c r="J255">
        <v>6</v>
      </c>
      <c r="K255" t="s">
        <v>18</v>
      </c>
      <c r="L255">
        <v>3</v>
      </c>
      <c r="M255">
        <v>7</v>
      </c>
      <c r="N255" t="str">
        <f t="shared" si="15"/>
        <v>Medium</v>
      </c>
      <c r="O255" t="str">
        <f t="shared" si="16"/>
        <v>High</v>
      </c>
      <c r="P255" t="str">
        <f t="shared" si="17"/>
        <v>Average</v>
      </c>
      <c r="Q255" t="str">
        <f t="shared" si="18"/>
        <v>Bad</v>
      </c>
      <c r="R255" t="str">
        <f t="shared" si="19"/>
        <v>High</v>
      </c>
    </row>
    <row r="256" spans="1:18" x14ac:dyDescent="0.45">
      <c r="A256">
        <v>255</v>
      </c>
      <c r="B256">
        <v>20</v>
      </c>
      <c r="C256" t="s">
        <v>13</v>
      </c>
      <c r="D256" t="s">
        <v>14</v>
      </c>
      <c r="E256" t="s">
        <v>33</v>
      </c>
      <c r="F256">
        <v>4.4000000000000004</v>
      </c>
      <c r="G256" t="s">
        <v>16</v>
      </c>
      <c r="H256" t="s">
        <v>23</v>
      </c>
      <c r="I256">
        <v>7.4</v>
      </c>
      <c r="J256">
        <v>7</v>
      </c>
      <c r="K256" t="s">
        <v>24</v>
      </c>
      <c r="L256">
        <v>2</v>
      </c>
      <c r="M256">
        <v>5</v>
      </c>
      <c r="N256" t="str">
        <f t="shared" si="15"/>
        <v>Medium</v>
      </c>
      <c r="O256" t="str">
        <f t="shared" si="16"/>
        <v>Average</v>
      </c>
      <c r="P256" t="str">
        <f t="shared" si="17"/>
        <v>High</v>
      </c>
      <c r="Q256" t="str">
        <f t="shared" si="18"/>
        <v>Bad</v>
      </c>
      <c r="R256" t="str">
        <f t="shared" si="19"/>
        <v>Medium</v>
      </c>
    </row>
    <row r="257" spans="1:18" x14ac:dyDescent="0.45">
      <c r="A257">
        <v>256</v>
      </c>
      <c r="B257">
        <v>22</v>
      </c>
      <c r="C257" t="s">
        <v>19</v>
      </c>
      <c r="D257" t="s">
        <v>20</v>
      </c>
      <c r="E257" t="s">
        <v>34</v>
      </c>
      <c r="F257">
        <v>4</v>
      </c>
      <c r="G257" t="s">
        <v>32</v>
      </c>
      <c r="H257" t="s">
        <v>23</v>
      </c>
      <c r="I257">
        <v>7.6</v>
      </c>
      <c r="J257">
        <v>8</v>
      </c>
      <c r="K257" t="s">
        <v>18</v>
      </c>
      <c r="L257">
        <v>2</v>
      </c>
      <c r="M257">
        <v>4</v>
      </c>
      <c r="N257" t="str">
        <f t="shared" si="15"/>
        <v>Medium</v>
      </c>
      <c r="O257" t="str">
        <f t="shared" si="16"/>
        <v>Average</v>
      </c>
      <c r="P257" t="str">
        <f t="shared" si="17"/>
        <v>High</v>
      </c>
      <c r="Q257" t="str">
        <f t="shared" si="18"/>
        <v>Good</v>
      </c>
      <c r="R257" t="str">
        <f t="shared" si="19"/>
        <v>Medium</v>
      </c>
    </row>
    <row r="258" spans="1:18" x14ac:dyDescent="0.45">
      <c r="A258">
        <v>257</v>
      </c>
      <c r="B258">
        <v>19</v>
      </c>
      <c r="C258" t="s">
        <v>13</v>
      </c>
      <c r="D258" t="s">
        <v>14</v>
      </c>
      <c r="E258" t="s">
        <v>38</v>
      </c>
      <c r="F258">
        <v>3.4</v>
      </c>
      <c r="G258" t="s">
        <v>140</v>
      </c>
      <c r="H258" t="s">
        <v>23</v>
      </c>
      <c r="I258">
        <v>8.1999999999999993</v>
      </c>
      <c r="J258">
        <v>8</v>
      </c>
      <c r="K258" t="s">
        <v>24</v>
      </c>
      <c r="L258">
        <v>1</v>
      </c>
      <c r="M258">
        <v>3</v>
      </c>
      <c r="N258" t="str">
        <f t="shared" si="15"/>
        <v>Low</v>
      </c>
      <c r="O258" t="str">
        <f t="shared" si="16"/>
        <v>High</v>
      </c>
      <c r="P258" t="str">
        <f t="shared" si="17"/>
        <v>High</v>
      </c>
      <c r="Q258" t="str">
        <f t="shared" si="18"/>
        <v>Good</v>
      </c>
      <c r="R258" t="str">
        <f t="shared" si="19"/>
        <v>Less</v>
      </c>
    </row>
    <row r="259" spans="1:18" x14ac:dyDescent="0.45">
      <c r="A259">
        <v>258</v>
      </c>
      <c r="B259">
        <v>21</v>
      </c>
      <c r="C259" t="s">
        <v>19</v>
      </c>
      <c r="D259" t="s">
        <v>20</v>
      </c>
      <c r="E259" t="s">
        <v>42</v>
      </c>
      <c r="F259">
        <v>5.3</v>
      </c>
      <c r="G259" t="s">
        <v>16</v>
      </c>
      <c r="H259" t="s">
        <v>17</v>
      </c>
      <c r="I259">
        <v>6.8</v>
      </c>
      <c r="J259">
        <v>5</v>
      </c>
      <c r="K259" t="s">
        <v>24</v>
      </c>
      <c r="L259">
        <v>3</v>
      </c>
      <c r="M259">
        <v>7</v>
      </c>
      <c r="N259" t="str">
        <f t="shared" ref="N259:N322" si="20">IF(AND(F259&gt;=1.5,F259&lt;=3.5),"Low",IF(AND(F259&gt;3.5,F259&lt;=6.5),"Medium","High"))</f>
        <v>Medium</v>
      </c>
      <c r="O259" t="str">
        <f t="shared" ref="O259:O322" si="21">IF(AND(I273&gt;=3.8,I273&lt;=5),"Less",IF(AND(I273&gt;5,I273&lt;=7),"Average","High"))</f>
        <v>High</v>
      </c>
      <c r="P259" t="str">
        <f t="shared" ref="P259:P322" si="22">IF(AND(I259&gt;=3.8,I259&lt;=5),"Less",IF(AND(I259&gt;5,I259&lt;=7),"Average","High"))</f>
        <v>Average</v>
      </c>
      <c r="Q259" t="str">
        <f t="shared" si="18"/>
        <v>Bad</v>
      </c>
      <c r="R259" t="str">
        <f t="shared" si="19"/>
        <v>High</v>
      </c>
    </row>
    <row r="260" spans="1:18" x14ac:dyDescent="0.45">
      <c r="A260">
        <v>259</v>
      </c>
      <c r="B260">
        <v>20</v>
      </c>
      <c r="C260" t="s">
        <v>13</v>
      </c>
      <c r="D260" t="s">
        <v>14</v>
      </c>
      <c r="E260" t="s">
        <v>39</v>
      </c>
      <c r="F260">
        <v>5</v>
      </c>
      <c r="G260" t="s">
        <v>141</v>
      </c>
      <c r="H260" t="s">
        <v>17</v>
      </c>
      <c r="I260">
        <v>6.7</v>
      </c>
      <c r="J260">
        <v>6</v>
      </c>
      <c r="K260" t="s">
        <v>18</v>
      </c>
      <c r="L260">
        <v>3</v>
      </c>
      <c r="M260">
        <v>6</v>
      </c>
      <c r="N260" t="str">
        <f t="shared" si="20"/>
        <v>Medium</v>
      </c>
      <c r="O260" t="str">
        <f t="shared" si="21"/>
        <v>High</v>
      </c>
      <c r="P260" t="str">
        <f t="shared" si="22"/>
        <v>Average</v>
      </c>
      <c r="Q260" t="str">
        <f t="shared" si="18"/>
        <v>Bad</v>
      </c>
      <c r="R260" t="str">
        <f t="shared" si="19"/>
        <v>Medium</v>
      </c>
    </row>
    <row r="261" spans="1:18" x14ac:dyDescent="0.45">
      <c r="A261">
        <v>260</v>
      </c>
      <c r="B261">
        <v>22</v>
      </c>
      <c r="C261" t="s">
        <v>19</v>
      </c>
      <c r="D261" t="s">
        <v>20</v>
      </c>
      <c r="E261" t="s">
        <v>44</v>
      </c>
      <c r="F261">
        <v>4.4000000000000004</v>
      </c>
      <c r="G261" t="s">
        <v>142</v>
      </c>
      <c r="H261" t="s">
        <v>23</v>
      </c>
      <c r="I261">
        <v>7.6</v>
      </c>
      <c r="J261">
        <v>7</v>
      </c>
      <c r="K261" t="s">
        <v>24</v>
      </c>
      <c r="L261">
        <v>2</v>
      </c>
      <c r="M261">
        <v>5</v>
      </c>
      <c r="N261" t="str">
        <f t="shared" si="20"/>
        <v>Medium</v>
      </c>
      <c r="O261" t="str">
        <f t="shared" si="21"/>
        <v>Average</v>
      </c>
      <c r="P261" t="str">
        <f t="shared" si="22"/>
        <v>High</v>
      </c>
      <c r="Q261" t="str">
        <f t="shared" si="18"/>
        <v>Bad</v>
      </c>
      <c r="R261" t="str">
        <f t="shared" si="19"/>
        <v>Medium</v>
      </c>
    </row>
    <row r="262" spans="1:18" x14ac:dyDescent="0.45">
      <c r="A262">
        <v>261</v>
      </c>
      <c r="B262">
        <v>19</v>
      </c>
      <c r="C262" t="s">
        <v>13</v>
      </c>
      <c r="D262" t="s">
        <v>14</v>
      </c>
      <c r="E262" t="s">
        <v>25</v>
      </c>
      <c r="F262">
        <v>6.6</v>
      </c>
      <c r="G262" t="s">
        <v>26</v>
      </c>
      <c r="H262" t="s">
        <v>17</v>
      </c>
      <c r="I262">
        <v>5.6</v>
      </c>
      <c r="J262">
        <v>4</v>
      </c>
      <c r="K262" t="s">
        <v>18</v>
      </c>
      <c r="L262">
        <v>4</v>
      </c>
      <c r="M262">
        <v>9</v>
      </c>
      <c r="N262" t="str">
        <f t="shared" si="20"/>
        <v>High</v>
      </c>
      <c r="O262" t="str">
        <f t="shared" si="21"/>
        <v>High</v>
      </c>
      <c r="P262" t="str">
        <f t="shared" si="22"/>
        <v>Average</v>
      </c>
      <c r="Q262" t="str">
        <f t="shared" ref="Q262:Q325" si="23">IF(AND(J262&gt;=0,J262&lt;=4),"Worst",IF(AND(J262&gt;4,J262&lt;=7),"Bad","Good"))</f>
        <v>Worst</v>
      </c>
      <c r="R262" t="str">
        <f t="shared" ref="R262:R325" si="24">IF(AND(M262&gt;0,M262&lt;=3),"Less",IF(AND(M262&gt;3,M262&lt;=6),"Medium","High"))</f>
        <v>High</v>
      </c>
    </row>
    <row r="263" spans="1:18" x14ac:dyDescent="0.45">
      <c r="A263">
        <v>262</v>
      </c>
      <c r="B263">
        <v>21</v>
      </c>
      <c r="C263" t="s">
        <v>19</v>
      </c>
      <c r="D263" t="s">
        <v>20</v>
      </c>
      <c r="E263" t="s">
        <v>29</v>
      </c>
      <c r="F263">
        <v>5.3</v>
      </c>
      <c r="G263" t="s">
        <v>16</v>
      </c>
      <c r="H263" t="s">
        <v>17</v>
      </c>
      <c r="I263">
        <v>6.3</v>
      </c>
      <c r="J263">
        <v>6</v>
      </c>
      <c r="K263" t="s">
        <v>24</v>
      </c>
      <c r="L263">
        <v>3</v>
      </c>
      <c r="M263">
        <v>7</v>
      </c>
      <c r="N263" t="str">
        <f t="shared" si="20"/>
        <v>Medium</v>
      </c>
      <c r="O263" t="str">
        <f t="shared" si="21"/>
        <v>High</v>
      </c>
      <c r="P263" t="str">
        <f t="shared" si="22"/>
        <v>Average</v>
      </c>
      <c r="Q263" t="str">
        <f t="shared" si="23"/>
        <v>Bad</v>
      </c>
      <c r="R263" t="str">
        <f t="shared" si="24"/>
        <v>High</v>
      </c>
    </row>
    <row r="264" spans="1:18" x14ac:dyDescent="0.45">
      <c r="A264">
        <v>263</v>
      </c>
      <c r="B264">
        <v>20</v>
      </c>
      <c r="C264" t="s">
        <v>13</v>
      </c>
      <c r="D264" t="s">
        <v>14</v>
      </c>
      <c r="E264" t="s">
        <v>33</v>
      </c>
      <c r="F264">
        <v>4.3</v>
      </c>
      <c r="G264" t="s">
        <v>32</v>
      </c>
      <c r="H264" t="s">
        <v>23</v>
      </c>
      <c r="I264">
        <v>7.5</v>
      </c>
      <c r="J264">
        <v>7</v>
      </c>
      <c r="K264" t="s">
        <v>18</v>
      </c>
      <c r="L264">
        <v>2</v>
      </c>
      <c r="M264">
        <v>5</v>
      </c>
      <c r="N264" t="str">
        <f t="shared" si="20"/>
        <v>Medium</v>
      </c>
      <c r="O264" t="str">
        <f t="shared" si="21"/>
        <v>Average</v>
      </c>
      <c r="P264" t="str">
        <f t="shared" si="22"/>
        <v>High</v>
      </c>
      <c r="Q264" t="str">
        <f t="shared" si="23"/>
        <v>Bad</v>
      </c>
      <c r="R264" t="str">
        <f t="shared" si="24"/>
        <v>Medium</v>
      </c>
    </row>
    <row r="265" spans="1:18" x14ac:dyDescent="0.45">
      <c r="A265">
        <v>264</v>
      </c>
      <c r="B265">
        <v>22</v>
      </c>
      <c r="C265" t="s">
        <v>19</v>
      </c>
      <c r="D265" t="s">
        <v>20</v>
      </c>
      <c r="E265" t="s">
        <v>34</v>
      </c>
      <c r="F265">
        <v>3.8</v>
      </c>
      <c r="G265" t="s">
        <v>16</v>
      </c>
      <c r="H265" t="s">
        <v>23</v>
      </c>
      <c r="I265">
        <v>7.7</v>
      </c>
      <c r="J265">
        <v>8</v>
      </c>
      <c r="K265" t="s">
        <v>24</v>
      </c>
      <c r="L265">
        <v>1</v>
      </c>
      <c r="M265">
        <v>4</v>
      </c>
      <c r="N265" t="str">
        <f t="shared" si="20"/>
        <v>Medium</v>
      </c>
      <c r="O265" t="str">
        <f t="shared" si="21"/>
        <v>Average</v>
      </c>
      <c r="P265" t="str">
        <f t="shared" si="22"/>
        <v>High</v>
      </c>
      <c r="Q265" t="str">
        <f t="shared" si="23"/>
        <v>Good</v>
      </c>
      <c r="R265" t="str">
        <f t="shared" si="24"/>
        <v>Medium</v>
      </c>
    </row>
    <row r="266" spans="1:18" x14ac:dyDescent="0.45">
      <c r="A266">
        <v>265</v>
      </c>
      <c r="B266">
        <v>19</v>
      </c>
      <c r="C266" t="s">
        <v>13</v>
      </c>
      <c r="D266" t="s">
        <v>14</v>
      </c>
      <c r="E266" t="s">
        <v>38</v>
      </c>
      <c r="F266">
        <v>3.3</v>
      </c>
      <c r="G266" t="s">
        <v>140</v>
      </c>
      <c r="H266" t="s">
        <v>23</v>
      </c>
      <c r="I266">
        <v>8.3000000000000007</v>
      </c>
      <c r="J266">
        <v>8</v>
      </c>
      <c r="K266" t="s">
        <v>24</v>
      </c>
      <c r="L266">
        <v>1</v>
      </c>
      <c r="M266">
        <v>3</v>
      </c>
      <c r="N266" t="str">
        <f t="shared" si="20"/>
        <v>Low</v>
      </c>
      <c r="O266" t="str">
        <f t="shared" si="21"/>
        <v>High</v>
      </c>
      <c r="P266" t="str">
        <f t="shared" si="22"/>
        <v>High</v>
      </c>
      <c r="Q266" t="str">
        <f t="shared" si="23"/>
        <v>Good</v>
      </c>
      <c r="R266" t="str">
        <f t="shared" si="24"/>
        <v>Less</v>
      </c>
    </row>
    <row r="267" spans="1:18" x14ac:dyDescent="0.45">
      <c r="A267">
        <v>266</v>
      </c>
      <c r="B267">
        <v>21</v>
      </c>
      <c r="C267" t="s">
        <v>19</v>
      </c>
      <c r="D267" t="s">
        <v>20</v>
      </c>
      <c r="E267" t="s">
        <v>42</v>
      </c>
      <c r="F267">
        <v>5.2</v>
      </c>
      <c r="G267" t="s">
        <v>26</v>
      </c>
      <c r="H267" t="s">
        <v>17</v>
      </c>
      <c r="I267">
        <v>6.9</v>
      </c>
      <c r="J267">
        <v>5</v>
      </c>
      <c r="K267" t="s">
        <v>18</v>
      </c>
      <c r="L267">
        <v>3</v>
      </c>
      <c r="M267">
        <v>8</v>
      </c>
      <c r="N267" t="str">
        <f t="shared" si="20"/>
        <v>Medium</v>
      </c>
      <c r="O267" t="str">
        <f t="shared" si="21"/>
        <v>High</v>
      </c>
      <c r="P267" t="str">
        <f t="shared" si="22"/>
        <v>Average</v>
      </c>
      <c r="Q267" t="str">
        <f t="shared" si="23"/>
        <v>Bad</v>
      </c>
      <c r="R267" t="str">
        <f t="shared" si="24"/>
        <v>High</v>
      </c>
    </row>
    <row r="268" spans="1:18" x14ac:dyDescent="0.45">
      <c r="A268">
        <v>267</v>
      </c>
      <c r="B268">
        <v>20</v>
      </c>
      <c r="C268" t="s">
        <v>13</v>
      </c>
      <c r="D268" t="s">
        <v>14</v>
      </c>
      <c r="E268" t="s">
        <v>39</v>
      </c>
      <c r="F268">
        <v>4.8</v>
      </c>
      <c r="G268" t="s">
        <v>141</v>
      </c>
      <c r="H268" t="s">
        <v>17</v>
      </c>
      <c r="I268">
        <v>7</v>
      </c>
      <c r="J268">
        <v>6</v>
      </c>
      <c r="K268" t="s">
        <v>24</v>
      </c>
      <c r="L268">
        <v>3</v>
      </c>
      <c r="M268">
        <v>6</v>
      </c>
      <c r="N268" t="str">
        <f t="shared" si="20"/>
        <v>Medium</v>
      </c>
      <c r="O268" t="str">
        <f t="shared" si="21"/>
        <v>High</v>
      </c>
      <c r="P268" t="str">
        <f t="shared" si="22"/>
        <v>Average</v>
      </c>
      <c r="Q268" t="str">
        <f t="shared" si="23"/>
        <v>Bad</v>
      </c>
      <c r="R268" t="str">
        <f t="shared" si="24"/>
        <v>Medium</v>
      </c>
    </row>
    <row r="269" spans="1:18" x14ac:dyDescent="0.45">
      <c r="A269">
        <v>268</v>
      </c>
      <c r="B269">
        <v>22</v>
      </c>
      <c r="C269" t="s">
        <v>19</v>
      </c>
      <c r="D269" t="s">
        <v>20</v>
      </c>
      <c r="E269" t="s">
        <v>44</v>
      </c>
      <c r="F269">
        <v>4.3</v>
      </c>
      <c r="G269" t="s">
        <v>142</v>
      </c>
      <c r="H269" t="s">
        <v>23</v>
      </c>
      <c r="I269">
        <v>7.7</v>
      </c>
      <c r="J269">
        <v>7</v>
      </c>
      <c r="K269" t="s">
        <v>18</v>
      </c>
      <c r="L269">
        <v>2</v>
      </c>
      <c r="M269">
        <v>5</v>
      </c>
      <c r="N269" t="str">
        <f t="shared" si="20"/>
        <v>Medium</v>
      </c>
      <c r="O269" t="str">
        <f t="shared" si="21"/>
        <v>Average</v>
      </c>
      <c r="P269" t="str">
        <f t="shared" si="22"/>
        <v>High</v>
      </c>
      <c r="Q269" t="str">
        <f t="shared" si="23"/>
        <v>Bad</v>
      </c>
      <c r="R269" t="str">
        <f t="shared" si="24"/>
        <v>Medium</v>
      </c>
    </row>
    <row r="270" spans="1:18" x14ac:dyDescent="0.45">
      <c r="A270">
        <v>269</v>
      </c>
      <c r="B270">
        <v>19</v>
      </c>
      <c r="C270" t="s">
        <v>13</v>
      </c>
      <c r="D270" t="s">
        <v>14</v>
      </c>
      <c r="E270" t="s">
        <v>25</v>
      </c>
      <c r="F270">
        <v>6.4</v>
      </c>
      <c r="G270" t="s">
        <v>16</v>
      </c>
      <c r="H270" t="s">
        <v>17</v>
      </c>
      <c r="I270">
        <v>5.7</v>
      </c>
      <c r="J270">
        <v>4</v>
      </c>
      <c r="K270" t="s">
        <v>24</v>
      </c>
      <c r="L270">
        <v>4</v>
      </c>
      <c r="M270">
        <v>9</v>
      </c>
      <c r="N270" t="str">
        <f t="shared" si="20"/>
        <v>Medium</v>
      </c>
      <c r="O270" t="str">
        <f t="shared" si="21"/>
        <v>High</v>
      </c>
      <c r="P270" t="str">
        <f t="shared" si="22"/>
        <v>Average</v>
      </c>
      <c r="Q270" t="str">
        <f t="shared" si="23"/>
        <v>Worst</v>
      </c>
      <c r="R270" t="str">
        <f t="shared" si="24"/>
        <v>High</v>
      </c>
    </row>
    <row r="271" spans="1:18" x14ac:dyDescent="0.45">
      <c r="A271">
        <v>270</v>
      </c>
      <c r="B271">
        <v>21</v>
      </c>
      <c r="C271" t="s">
        <v>19</v>
      </c>
      <c r="D271" t="s">
        <v>20</v>
      </c>
      <c r="E271" t="s">
        <v>29</v>
      </c>
      <c r="F271">
        <v>5.2</v>
      </c>
      <c r="G271" t="s">
        <v>32</v>
      </c>
      <c r="H271" t="s">
        <v>17</v>
      </c>
      <c r="I271">
        <v>6.4</v>
      </c>
      <c r="J271">
        <v>6</v>
      </c>
      <c r="K271" t="s">
        <v>18</v>
      </c>
      <c r="L271">
        <v>3</v>
      </c>
      <c r="M271">
        <v>7</v>
      </c>
      <c r="N271" t="str">
        <f t="shared" si="20"/>
        <v>Medium</v>
      </c>
      <c r="O271" t="str">
        <f t="shared" si="21"/>
        <v>High</v>
      </c>
      <c r="P271" t="str">
        <f t="shared" si="22"/>
        <v>Average</v>
      </c>
      <c r="Q271" t="str">
        <f t="shared" si="23"/>
        <v>Bad</v>
      </c>
      <c r="R271" t="str">
        <f t="shared" si="24"/>
        <v>High</v>
      </c>
    </row>
    <row r="272" spans="1:18" x14ac:dyDescent="0.45">
      <c r="A272">
        <v>271</v>
      </c>
      <c r="B272">
        <v>20</v>
      </c>
      <c r="C272" t="s">
        <v>13</v>
      </c>
      <c r="D272" t="s">
        <v>14</v>
      </c>
      <c r="E272" t="s">
        <v>33</v>
      </c>
      <c r="F272">
        <v>4.5</v>
      </c>
      <c r="G272" t="s">
        <v>16</v>
      </c>
      <c r="H272" t="s">
        <v>23</v>
      </c>
      <c r="I272">
        <v>7.3</v>
      </c>
      <c r="J272">
        <v>7</v>
      </c>
      <c r="K272" t="s">
        <v>24</v>
      </c>
      <c r="L272">
        <v>2</v>
      </c>
      <c r="M272">
        <v>5</v>
      </c>
      <c r="N272" t="str">
        <f t="shared" si="20"/>
        <v>Medium</v>
      </c>
      <c r="O272" t="str">
        <f t="shared" si="21"/>
        <v>Average</v>
      </c>
      <c r="P272" t="str">
        <f t="shared" si="22"/>
        <v>High</v>
      </c>
      <c r="Q272" t="str">
        <f t="shared" si="23"/>
        <v>Bad</v>
      </c>
      <c r="R272" t="str">
        <f t="shared" si="24"/>
        <v>Medium</v>
      </c>
    </row>
    <row r="273" spans="1:18" x14ac:dyDescent="0.45">
      <c r="A273">
        <v>272</v>
      </c>
      <c r="B273">
        <v>22</v>
      </c>
      <c r="C273" t="s">
        <v>19</v>
      </c>
      <c r="D273" t="s">
        <v>20</v>
      </c>
      <c r="E273" t="s">
        <v>34</v>
      </c>
      <c r="F273">
        <v>3.7</v>
      </c>
      <c r="G273" t="s">
        <v>32</v>
      </c>
      <c r="H273" t="s">
        <v>23</v>
      </c>
      <c r="I273">
        <v>7.8</v>
      </c>
      <c r="J273">
        <v>8</v>
      </c>
      <c r="K273" t="s">
        <v>18</v>
      </c>
      <c r="L273">
        <v>1</v>
      </c>
      <c r="M273">
        <v>4</v>
      </c>
      <c r="N273" t="str">
        <f t="shared" si="20"/>
        <v>Medium</v>
      </c>
      <c r="O273" t="str">
        <f t="shared" si="21"/>
        <v>Average</v>
      </c>
      <c r="P273" t="str">
        <f t="shared" si="22"/>
        <v>High</v>
      </c>
      <c r="Q273" t="str">
        <f t="shared" si="23"/>
        <v>Good</v>
      </c>
      <c r="R273" t="str">
        <f t="shared" si="24"/>
        <v>Medium</v>
      </c>
    </row>
    <row r="274" spans="1:18" x14ac:dyDescent="0.45">
      <c r="A274">
        <v>273</v>
      </c>
      <c r="B274">
        <v>19</v>
      </c>
      <c r="C274" t="s">
        <v>13</v>
      </c>
      <c r="D274" t="s">
        <v>14</v>
      </c>
      <c r="E274" t="s">
        <v>38</v>
      </c>
      <c r="F274">
        <v>3.2</v>
      </c>
      <c r="G274" t="s">
        <v>140</v>
      </c>
      <c r="H274" t="s">
        <v>23</v>
      </c>
      <c r="I274">
        <v>8.4</v>
      </c>
      <c r="J274">
        <v>8</v>
      </c>
      <c r="K274" t="s">
        <v>24</v>
      </c>
      <c r="L274">
        <v>1</v>
      </c>
      <c r="M274">
        <v>3</v>
      </c>
      <c r="N274" t="str">
        <f t="shared" si="20"/>
        <v>Low</v>
      </c>
      <c r="O274" t="str">
        <f t="shared" si="21"/>
        <v>High</v>
      </c>
      <c r="P274" t="str">
        <f t="shared" si="22"/>
        <v>High</v>
      </c>
      <c r="Q274" t="str">
        <f t="shared" si="23"/>
        <v>Good</v>
      </c>
      <c r="R274" t="str">
        <f t="shared" si="24"/>
        <v>Less</v>
      </c>
    </row>
    <row r="275" spans="1:18" x14ac:dyDescent="0.45">
      <c r="A275">
        <v>274</v>
      </c>
      <c r="B275">
        <v>21</v>
      </c>
      <c r="C275" t="s">
        <v>19</v>
      </c>
      <c r="D275" t="s">
        <v>20</v>
      </c>
      <c r="E275" t="s">
        <v>42</v>
      </c>
      <c r="F275">
        <v>5.4</v>
      </c>
      <c r="G275" t="s">
        <v>16</v>
      </c>
      <c r="H275" t="s">
        <v>17</v>
      </c>
      <c r="I275">
        <v>6.7</v>
      </c>
      <c r="J275">
        <v>5</v>
      </c>
      <c r="K275" t="s">
        <v>24</v>
      </c>
      <c r="L275">
        <v>3</v>
      </c>
      <c r="M275">
        <v>7</v>
      </c>
      <c r="N275" t="str">
        <f t="shared" si="20"/>
        <v>Medium</v>
      </c>
      <c r="O275" t="str">
        <f t="shared" si="21"/>
        <v>High</v>
      </c>
      <c r="P275" t="str">
        <f t="shared" si="22"/>
        <v>Average</v>
      </c>
      <c r="Q275" t="str">
        <f t="shared" si="23"/>
        <v>Bad</v>
      </c>
      <c r="R275" t="str">
        <f t="shared" si="24"/>
        <v>High</v>
      </c>
    </row>
    <row r="276" spans="1:18" x14ac:dyDescent="0.45">
      <c r="A276">
        <v>275</v>
      </c>
      <c r="B276">
        <v>20</v>
      </c>
      <c r="C276" t="s">
        <v>13</v>
      </c>
      <c r="D276" t="s">
        <v>14</v>
      </c>
      <c r="E276" t="s">
        <v>39</v>
      </c>
      <c r="F276">
        <v>4.7</v>
      </c>
      <c r="G276" t="s">
        <v>141</v>
      </c>
      <c r="H276" t="s">
        <v>17</v>
      </c>
      <c r="I276">
        <v>7.1</v>
      </c>
      <c r="J276">
        <v>6</v>
      </c>
      <c r="K276" t="s">
        <v>18</v>
      </c>
      <c r="L276">
        <v>3</v>
      </c>
      <c r="M276">
        <v>6</v>
      </c>
      <c r="N276" t="str">
        <f t="shared" si="20"/>
        <v>Medium</v>
      </c>
      <c r="O276" t="str">
        <f t="shared" si="21"/>
        <v>High</v>
      </c>
      <c r="P276" t="str">
        <f t="shared" si="22"/>
        <v>High</v>
      </c>
      <c r="Q276" t="str">
        <f t="shared" si="23"/>
        <v>Bad</v>
      </c>
      <c r="R276" t="str">
        <f t="shared" si="24"/>
        <v>Medium</v>
      </c>
    </row>
    <row r="277" spans="1:18" x14ac:dyDescent="0.45">
      <c r="A277">
        <v>276</v>
      </c>
      <c r="B277">
        <v>22</v>
      </c>
      <c r="C277" t="s">
        <v>19</v>
      </c>
      <c r="D277" t="s">
        <v>20</v>
      </c>
      <c r="E277" t="s">
        <v>44</v>
      </c>
      <c r="F277">
        <v>4.2</v>
      </c>
      <c r="G277" t="s">
        <v>142</v>
      </c>
      <c r="H277" t="s">
        <v>23</v>
      </c>
      <c r="I277">
        <v>7.8</v>
      </c>
      <c r="J277">
        <v>7</v>
      </c>
      <c r="K277" t="s">
        <v>24</v>
      </c>
      <c r="L277">
        <v>2</v>
      </c>
      <c r="M277">
        <v>5</v>
      </c>
      <c r="N277" t="str">
        <f t="shared" si="20"/>
        <v>Medium</v>
      </c>
      <c r="O277" t="str">
        <f t="shared" si="21"/>
        <v>Average</v>
      </c>
      <c r="P277" t="str">
        <f t="shared" si="22"/>
        <v>High</v>
      </c>
      <c r="Q277" t="str">
        <f t="shared" si="23"/>
        <v>Bad</v>
      </c>
      <c r="R277" t="str">
        <f t="shared" si="24"/>
        <v>Medium</v>
      </c>
    </row>
    <row r="278" spans="1:18" x14ac:dyDescent="0.45">
      <c r="A278">
        <v>277</v>
      </c>
      <c r="B278">
        <v>19</v>
      </c>
      <c r="C278" t="s">
        <v>13</v>
      </c>
      <c r="D278" t="s">
        <v>14</v>
      </c>
      <c r="E278" t="s">
        <v>25</v>
      </c>
      <c r="F278">
        <v>6.6</v>
      </c>
      <c r="G278" t="s">
        <v>26</v>
      </c>
      <c r="H278" t="s">
        <v>17</v>
      </c>
      <c r="I278">
        <v>5.5</v>
      </c>
      <c r="J278">
        <v>4</v>
      </c>
      <c r="K278" t="s">
        <v>18</v>
      </c>
      <c r="L278">
        <v>4</v>
      </c>
      <c r="M278">
        <v>9</v>
      </c>
      <c r="N278" t="str">
        <f t="shared" si="20"/>
        <v>High</v>
      </c>
      <c r="O278" t="str">
        <f t="shared" si="21"/>
        <v>High</v>
      </c>
      <c r="P278" t="str">
        <f t="shared" si="22"/>
        <v>Average</v>
      </c>
      <c r="Q278" t="str">
        <f t="shared" si="23"/>
        <v>Worst</v>
      </c>
      <c r="R278" t="str">
        <f t="shared" si="24"/>
        <v>High</v>
      </c>
    </row>
    <row r="279" spans="1:18" x14ac:dyDescent="0.45">
      <c r="A279">
        <v>278</v>
      </c>
      <c r="B279">
        <v>21</v>
      </c>
      <c r="C279" t="s">
        <v>19</v>
      </c>
      <c r="D279" t="s">
        <v>20</v>
      </c>
      <c r="E279" t="s">
        <v>29</v>
      </c>
      <c r="F279">
        <v>5.0999999999999996</v>
      </c>
      <c r="G279" t="s">
        <v>16</v>
      </c>
      <c r="H279" t="s">
        <v>17</v>
      </c>
      <c r="I279">
        <v>6.5</v>
      </c>
      <c r="J279">
        <v>6</v>
      </c>
      <c r="K279" t="s">
        <v>24</v>
      </c>
      <c r="L279">
        <v>3</v>
      </c>
      <c r="M279">
        <v>7</v>
      </c>
      <c r="N279" t="str">
        <f t="shared" si="20"/>
        <v>Medium</v>
      </c>
      <c r="O279" t="str">
        <f t="shared" si="21"/>
        <v>High</v>
      </c>
      <c r="P279" t="str">
        <f t="shared" si="22"/>
        <v>Average</v>
      </c>
      <c r="Q279" t="str">
        <f t="shared" si="23"/>
        <v>Bad</v>
      </c>
      <c r="R279" t="str">
        <f t="shared" si="24"/>
        <v>High</v>
      </c>
    </row>
    <row r="280" spans="1:18" x14ac:dyDescent="0.45">
      <c r="A280">
        <v>279</v>
      </c>
      <c r="B280">
        <v>20</v>
      </c>
      <c r="C280" t="s">
        <v>13</v>
      </c>
      <c r="D280" t="s">
        <v>14</v>
      </c>
      <c r="E280" t="s">
        <v>33</v>
      </c>
      <c r="F280">
        <v>4.4000000000000004</v>
      </c>
      <c r="G280" t="s">
        <v>32</v>
      </c>
      <c r="H280" t="s">
        <v>23</v>
      </c>
      <c r="I280">
        <v>7.4</v>
      </c>
      <c r="J280">
        <v>7</v>
      </c>
      <c r="K280" t="s">
        <v>18</v>
      </c>
      <c r="L280">
        <v>2</v>
      </c>
      <c r="M280">
        <v>5</v>
      </c>
      <c r="N280" t="str">
        <f t="shared" si="20"/>
        <v>Medium</v>
      </c>
      <c r="O280" t="str">
        <f t="shared" si="21"/>
        <v>Average</v>
      </c>
      <c r="P280" t="str">
        <f t="shared" si="22"/>
        <v>High</v>
      </c>
      <c r="Q280" t="str">
        <f t="shared" si="23"/>
        <v>Bad</v>
      </c>
      <c r="R280" t="str">
        <f t="shared" si="24"/>
        <v>Medium</v>
      </c>
    </row>
    <row r="281" spans="1:18" x14ac:dyDescent="0.45">
      <c r="A281">
        <v>280</v>
      </c>
      <c r="B281">
        <v>22</v>
      </c>
      <c r="C281" t="s">
        <v>19</v>
      </c>
      <c r="D281" t="s">
        <v>20</v>
      </c>
      <c r="E281" t="s">
        <v>34</v>
      </c>
      <c r="F281">
        <v>3.6</v>
      </c>
      <c r="G281" t="s">
        <v>16</v>
      </c>
      <c r="H281" t="s">
        <v>23</v>
      </c>
      <c r="I281">
        <v>7.9</v>
      </c>
      <c r="J281">
        <v>8</v>
      </c>
      <c r="K281" t="s">
        <v>24</v>
      </c>
      <c r="L281">
        <v>1</v>
      </c>
      <c r="M281">
        <v>4</v>
      </c>
      <c r="N281" t="str">
        <f t="shared" si="20"/>
        <v>Medium</v>
      </c>
      <c r="O281" t="str">
        <f t="shared" si="21"/>
        <v>Average</v>
      </c>
      <c r="P281" t="str">
        <f t="shared" si="22"/>
        <v>High</v>
      </c>
      <c r="Q281" t="str">
        <f t="shared" si="23"/>
        <v>Good</v>
      </c>
      <c r="R281" t="str">
        <f t="shared" si="24"/>
        <v>Medium</v>
      </c>
    </row>
    <row r="282" spans="1:18" x14ac:dyDescent="0.45">
      <c r="A282">
        <v>281</v>
      </c>
      <c r="B282">
        <v>19</v>
      </c>
      <c r="C282" t="s">
        <v>13</v>
      </c>
      <c r="D282" t="s">
        <v>14</v>
      </c>
      <c r="E282" t="s">
        <v>38</v>
      </c>
      <c r="F282">
        <v>3.1</v>
      </c>
      <c r="G282" t="s">
        <v>140</v>
      </c>
      <c r="H282" t="s">
        <v>23</v>
      </c>
      <c r="I282">
        <v>8.5</v>
      </c>
      <c r="J282">
        <v>8</v>
      </c>
      <c r="K282" t="s">
        <v>24</v>
      </c>
      <c r="L282">
        <v>1</v>
      </c>
      <c r="M282">
        <v>3</v>
      </c>
      <c r="N282" t="str">
        <f t="shared" si="20"/>
        <v>Low</v>
      </c>
      <c r="O282" t="str">
        <f t="shared" si="21"/>
        <v>High</v>
      </c>
      <c r="P282" t="str">
        <f t="shared" si="22"/>
        <v>High</v>
      </c>
      <c r="Q282" t="str">
        <f t="shared" si="23"/>
        <v>Good</v>
      </c>
      <c r="R282" t="str">
        <f t="shared" si="24"/>
        <v>Less</v>
      </c>
    </row>
    <row r="283" spans="1:18" x14ac:dyDescent="0.45">
      <c r="A283">
        <v>282</v>
      </c>
      <c r="B283">
        <v>21</v>
      </c>
      <c r="C283" t="s">
        <v>19</v>
      </c>
      <c r="D283" t="s">
        <v>20</v>
      </c>
      <c r="E283" t="s">
        <v>42</v>
      </c>
      <c r="F283">
        <v>5.3</v>
      </c>
      <c r="G283" t="s">
        <v>26</v>
      </c>
      <c r="H283" t="s">
        <v>17</v>
      </c>
      <c r="I283">
        <v>6.8</v>
      </c>
      <c r="J283">
        <v>5</v>
      </c>
      <c r="K283" t="s">
        <v>18</v>
      </c>
      <c r="L283">
        <v>3</v>
      </c>
      <c r="M283">
        <v>8</v>
      </c>
      <c r="N283" t="str">
        <f t="shared" si="20"/>
        <v>Medium</v>
      </c>
      <c r="O283" t="str">
        <f t="shared" si="21"/>
        <v>High</v>
      </c>
      <c r="P283" t="str">
        <f t="shared" si="22"/>
        <v>Average</v>
      </c>
      <c r="Q283" t="str">
        <f t="shared" si="23"/>
        <v>Bad</v>
      </c>
      <c r="R283" t="str">
        <f t="shared" si="24"/>
        <v>High</v>
      </c>
    </row>
    <row r="284" spans="1:18" x14ac:dyDescent="0.45">
      <c r="A284">
        <v>283</v>
      </c>
      <c r="B284">
        <v>20</v>
      </c>
      <c r="C284" t="s">
        <v>13</v>
      </c>
      <c r="D284" t="s">
        <v>14</v>
      </c>
      <c r="E284" t="s">
        <v>39</v>
      </c>
      <c r="F284">
        <v>4.5999999999999996</v>
      </c>
      <c r="G284" t="s">
        <v>141</v>
      </c>
      <c r="H284" t="s">
        <v>17</v>
      </c>
      <c r="I284">
        <v>7.2</v>
      </c>
      <c r="J284">
        <v>6</v>
      </c>
      <c r="K284" t="s">
        <v>24</v>
      </c>
      <c r="L284">
        <v>3</v>
      </c>
      <c r="M284">
        <v>6</v>
      </c>
      <c r="N284" t="str">
        <f t="shared" si="20"/>
        <v>Medium</v>
      </c>
      <c r="O284" t="str">
        <f t="shared" si="21"/>
        <v>High</v>
      </c>
      <c r="P284" t="str">
        <f t="shared" si="22"/>
        <v>High</v>
      </c>
      <c r="Q284" t="str">
        <f t="shared" si="23"/>
        <v>Bad</v>
      </c>
      <c r="R284" t="str">
        <f t="shared" si="24"/>
        <v>Medium</v>
      </c>
    </row>
    <row r="285" spans="1:18" x14ac:dyDescent="0.45">
      <c r="A285">
        <v>284</v>
      </c>
      <c r="B285">
        <v>22</v>
      </c>
      <c r="C285" t="s">
        <v>19</v>
      </c>
      <c r="D285" t="s">
        <v>20</v>
      </c>
      <c r="E285" t="s">
        <v>44</v>
      </c>
      <c r="F285">
        <v>4.0999999999999996</v>
      </c>
      <c r="G285" t="s">
        <v>142</v>
      </c>
      <c r="H285" t="s">
        <v>23</v>
      </c>
      <c r="I285">
        <v>7.9</v>
      </c>
      <c r="J285">
        <v>7</v>
      </c>
      <c r="K285" t="s">
        <v>18</v>
      </c>
      <c r="L285">
        <v>2</v>
      </c>
      <c r="M285">
        <v>5</v>
      </c>
      <c r="N285" t="str">
        <f t="shared" si="20"/>
        <v>Medium</v>
      </c>
      <c r="O285" t="str">
        <f t="shared" si="21"/>
        <v>Average</v>
      </c>
      <c r="P285" t="str">
        <f t="shared" si="22"/>
        <v>High</v>
      </c>
      <c r="Q285" t="str">
        <f t="shared" si="23"/>
        <v>Bad</v>
      </c>
      <c r="R285" t="str">
        <f t="shared" si="24"/>
        <v>Medium</v>
      </c>
    </row>
    <row r="286" spans="1:18" x14ac:dyDescent="0.45">
      <c r="A286">
        <v>285</v>
      </c>
      <c r="B286">
        <v>19</v>
      </c>
      <c r="C286" t="s">
        <v>13</v>
      </c>
      <c r="D286" t="s">
        <v>14</v>
      </c>
      <c r="E286" t="s">
        <v>25</v>
      </c>
      <c r="F286">
        <v>6.7</v>
      </c>
      <c r="G286" t="s">
        <v>16</v>
      </c>
      <c r="H286" t="s">
        <v>17</v>
      </c>
      <c r="I286">
        <v>5.4</v>
      </c>
      <c r="J286">
        <v>4</v>
      </c>
      <c r="K286" t="s">
        <v>24</v>
      </c>
      <c r="L286">
        <v>4</v>
      </c>
      <c r="M286">
        <v>9</v>
      </c>
      <c r="N286" t="str">
        <f t="shared" si="20"/>
        <v>High</v>
      </c>
      <c r="O286" t="str">
        <f t="shared" si="21"/>
        <v>High</v>
      </c>
      <c r="P286" t="str">
        <f t="shared" si="22"/>
        <v>Average</v>
      </c>
      <c r="Q286" t="str">
        <f t="shared" si="23"/>
        <v>Worst</v>
      </c>
      <c r="R286" t="str">
        <f t="shared" si="24"/>
        <v>High</v>
      </c>
    </row>
    <row r="287" spans="1:18" x14ac:dyDescent="0.45">
      <c r="A287">
        <v>286</v>
      </c>
      <c r="B287">
        <v>21</v>
      </c>
      <c r="C287" t="s">
        <v>19</v>
      </c>
      <c r="D287" t="s">
        <v>20</v>
      </c>
      <c r="E287" t="s">
        <v>29</v>
      </c>
      <c r="F287">
        <v>5</v>
      </c>
      <c r="G287" t="s">
        <v>32</v>
      </c>
      <c r="H287" t="s">
        <v>17</v>
      </c>
      <c r="I287">
        <v>6.6</v>
      </c>
      <c r="J287">
        <v>6</v>
      </c>
      <c r="K287" t="s">
        <v>18</v>
      </c>
      <c r="L287">
        <v>3</v>
      </c>
      <c r="M287">
        <v>7</v>
      </c>
      <c r="N287" t="str">
        <f t="shared" si="20"/>
        <v>Medium</v>
      </c>
      <c r="O287" t="str">
        <f t="shared" si="21"/>
        <v>High</v>
      </c>
      <c r="P287" t="str">
        <f t="shared" si="22"/>
        <v>Average</v>
      </c>
      <c r="Q287" t="str">
        <f t="shared" si="23"/>
        <v>Bad</v>
      </c>
      <c r="R287" t="str">
        <f t="shared" si="24"/>
        <v>High</v>
      </c>
    </row>
    <row r="288" spans="1:18" x14ac:dyDescent="0.45">
      <c r="A288">
        <v>287</v>
      </c>
      <c r="B288">
        <v>20</v>
      </c>
      <c r="C288" t="s">
        <v>13</v>
      </c>
      <c r="D288" t="s">
        <v>14</v>
      </c>
      <c r="E288" t="s">
        <v>33</v>
      </c>
      <c r="F288">
        <v>4.3</v>
      </c>
      <c r="G288" t="s">
        <v>16</v>
      </c>
      <c r="H288" t="s">
        <v>23</v>
      </c>
      <c r="I288">
        <v>7.5</v>
      </c>
      <c r="J288">
        <v>7</v>
      </c>
      <c r="K288" t="s">
        <v>24</v>
      </c>
      <c r="L288">
        <v>2</v>
      </c>
      <c r="M288">
        <v>5</v>
      </c>
      <c r="N288" t="str">
        <f t="shared" si="20"/>
        <v>Medium</v>
      </c>
      <c r="O288" t="str">
        <f t="shared" si="21"/>
        <v>Average</v>
      </c>
      <c r="P288" t="str">
        <f t="shared" si="22"/>
        <v>High</v>
      </c>
      <c r="Q288" t="str">
        <f t="shared" si="23"/>
        <v>Bad</v>
      </c>
      <c r="R288" t="str">
        <f t="shared" si="24"/>
        <v>Medium</v>
      </c>
    </row>
    <row r="289" spans="1:18" x14ac:dyDescent="0.45">
      <c r="A289">
        <v>288</v>
      </c>
      <c r="B289">
        <v>22</v>
      </c>
      <c r="C289" t="s">
        <v>19</v>
      </c>
      <c r="D289" t="s">
        <v>20</v>
      </c>
      <c r="E289" t="s">
        <v>34</v>
      </c>
      <c r="F289">
        <v>3.5</v>
      </c>
      <c r="G289" t="s">
        <v>32</v>
      </c>
      <c r="H289" t="s">
        <v>23</v>
      </c>
      <c r="I289">
        <v>8</v>
      </c>
      <c r="J289">
        <v>8</v>
      </c>
      <c r="K289" t="s">
        <v>18</v>
      </c>
      <c r="L289">
        <v>1</v>
      </c>
      <c r="M289">
        <v>4</v>
      </c>
      <c r="N289" t="str">
        <f t="shared" si="20"/>
        <v>Low</v>
      </c>
      <c r="O289" t="str">
        <f t="shared" si="21"/>
        <v>Average</v>
      </c>
      <c r="P289" t="str">
        <f t="shared" si="22"/>
        <v>High</v>
      </c>
      <c r="Q289" t="str">
        <f t="shared" si="23"/>
        <v>Good</v>
      </c>
      <c r="R289" t="str">
        <f t="shared" si="24"/>
        <v>Medium</v>
      </c>
    </row>
    <row r="290" spans="1:18" x14ac:dyDescent="0.45">
      <c r="A290">
        <v>289</v>
      </c>
      <c r="B290">
        <v>19</v>
      </c>
      <c r="C290" t="s">
        <v>13</v>
      </c>
      <c r="D290" t="s">
        <v>14</v>
      </c>
      <c r="E290" t="s">
        <v>38</v>
      </c>
      <c r="F290">
        <v>3</v>
      </c>
      <c r="G290" t="s">
        <v>140</v>
      </c>
      <c r="H290" t="s">
        <v>23</v>
      </c>
      <c r="I290">
        <v>8.6</v>
      </c>
      <c r="J290">
        <v>8</v>
      </c>
      <c r="K290" t="s">
        <v>24</v>
      </c>
      <c r="L290">
        <v>1</v>
      </c>
      <c r="M290">
        <v>3</v>
      </c>
      <c r="N290" t="str">
        <f t="shared" si="20"/>
        <v>Low</v>
      </c>
      <c r="O290" t="str">
        <f t="shared" si="21"/>
        <v>High</v>
      </c>
      <c r="P290" t="str">
        <f t="shared" si="22"/>
        <v>High</v>
      </c>
      <c r="Q290" t="str">
        <f t="shared" si="23"/>
        <v>Good</v>
      </c>
      <c r="R290" t="str">
        <f t="shared" si="24"/>
        <v>Less</v>
      </c>
    </row>
    <row r="291" spans="1:18" x14ac:dyDescent="0.45">
      <c r="A291">
        <v>290</v>
      </c>
      <c r="B291">
        <v>21</v>
      </c>
      <c r="C291" t="s">
        <v>19</v>
      </c>
      <c r="D291" t="s">
        <v>20</v>
      </c>
      <c r="E291" t="s">
        <v>42</v>
      </c>
      <c r="F291">
        <v>5.2</v>
      </c>
      <c r="G291" t="s">
        <v>16</v>
      </c>
      <c r="H291" t="s">
        <v>17</v>
      </c>
      <c r="I291">
        <v>6.9</v>
      </c>
      <c r="J291">
        <v>5</v>
      </c>
      <c r="K291" t="s">
        <v>24</v>
      </c>
      <c r="L291">
        <v>3</v>
      </c>
      <c r="M291">
        <v>7</v>
      </c>
      <c r="N291" t="str">
        <f t="shared" si="20"/>
        <v>Medium</v>
      </c>
      <c r="O291" t="str">
        <f t="shared" si="21"/>
        <v>High</v>
      </c>
      <c r="P291" t="str">
        <f t="shared" si="22"/>
        <v>Average</v>
      </c>
      <c r="Q291" t="str">
        <f t="shared" si="23"/>
        <v>Bad</v>
      </c>
      <c r="R291" t="str">
        <f t="shared" si="24"/>
        <v>High</v>
      </c>
    </row>
    <row r="292" spans="1:18" x14ac:dyDescent="0.45">
      <c r="A292">
        <v>291</v>
      </c>
      <c r="B292">
        <v>20</v>
      </c>
      <c r="C292" t="s">
        <v>13</v>
      </c>
      <c r="D292" t="s">
        <v>14</v>
      </c>
      <c r="E292" t="s">
        <v>39</v>
      </c>
      <c r="F292">
        <v>4.5</v>
      </c>
      <c r="G292" t="s">
        <v>141</v>
      </c>
      <c r="H292" t="s">
        <v>17</v>
      </c>
      <c r="I292">
        <v>7.3</v>
      </c>
      <c r="J292">
        <v>6</v>
      </c>
      <c r="K292" t="s">
        <v>18</v>
      </c>
      <c r="L292">
        <v>3</v>
      </c>
      <c r="M292">
        <v>6</v>
      </c>
      <c r="N292" t="str">
        <f t="shared" si="20"/>
        <v>Medium</v>
      </c>
      <c r="O292" t="str">
        <f t="shared" si="21"/>
        <v>High</v>
      </c>
      <c r="P292" t="str">
        <f t="shared" si="22"/>
        <v>High</v>
      </c>
      <c r="Q292" t="str">
        <f t="shared" si="23"/>
        <v>Bad</v>
      </c>
      <c r="R292" t="str">
        <f t="shared" si="24"/>
        <v>Medium</v>
      </c>
    </row>
    <row r="293" spans="1:18" x14ac:dyDescent="0.45">
      <c r="A293">
        <v>292</v>
      </c>
      <c r="B293">
        <v>22</v>
      </c>
      <c r="C293" t="s">
        <v>19</v>
      </c>
      <c r="D293" t="s">
        <v>20</v>
      </c>
      <c r="E293" t="s">
        <v>44</v>
      </c>
      <c r="F293">
        <v>4</v>
      </c>
      <c r="G293" t="s">
        <v>142</v>
      </c>
      <c r="H293" t="s">
        <v>23</v>
      </c>
      <c r="I293">
        <v>8</v>
      </c>
      <c r="J293">
        <v>7</v>
      </c>
      <c r="K293" t="s">
        <v>24</v>
      </c>
      <c r="L293">
        <v>2</v>
      </c>
      <c r="M293">
        <v>5</v>
      </c>
      <c r="N293" t="str">
        <f t="shared" si="20"/>
        <v>Medium</v>
      </c>
      <c r="O293" t="str">
        <f t="shared" si="21"/>
        <v>High</v>
      </c>
      <c r="P293" t="str">
        <f t="shared" si="22"/>
        <v>High</v>
      </c>
      <c r="Q293" t="str">
        <f t="shared" si="23"/>
        <v>Bad</v>
      </c>
      <c r="R293" t="str">
        <f t="shared" si="24"/>
        <v>Medium</v>
      </c>
    </row>
    <row r="294" spans="1:18" x14ac:dyDescent="0.45">
      <c r="A294">
        <v>293</v>
      </c>
      <c r="B294">
        <v>19</v>
      </c>
      <c r="C294" t="s">
        <v>13</v>
      </c>
      <c r="D294" t="s">
        <v>14</v>
      </c>
      <c r="E294" t="s">
        <v>25</v>
      </c>
      <c r="F294">
        <v>6.8</v>
      </c>
      <c r="G294" t="s">
        <v>26</v>
      </c>
      <c r="H294" t="s">
        <v>17</v>
      </c>
      <c r="I294">
        <v>5.3</v>
      </c>
      <c r="J294">
        <v>4</v>
      </c>
      <c r="K294" t="s">
        <v>18</v>
      </c>
      <c r="L294">
        <v>4</v>
      </c>
      <c r="M294">
        <v>9</v>
      </c>
      <c r="N294" t="str">
        <f t="shared" si="20"/>
        <v>High</v>
      </c>
      <c r="O294" t="str">
        <f t="shared" si="21"/>
        <v>High</v>
      </c>
      <c r="P294" t="str">
        <f t="shared" si="22"/>
        <v>Average</v>
      </c>
      <c r="Q294" t="str">
        <f t="shared" si="23"/>
        <v>Worst</v>
      </c>
      <c r="R294" t="str">
        <f t="shared" si="24"/>
        <v>High</v>
      </c>
    </row>
    <row r="295" spans="1:18" x14ac:dyDescent="0.45">
      <c r="A295">
        <v>294</v>
      </c>
      <c r="B295">
        <v>21</v>
      </c>
      <c r="C295" t="s">
        <v>19</v>
      </c>
      <c r="D295" t="s">
        <v>20</v>
      </c>
      <c r="E295" t="s">
        <v>29</v>
      </c>
      <c r="F295">
        <v>4.9000000000000004</v>
      </c>
      <c r="G295" t="s">
        <v>16</v>
      </c>
      <c r="H295" t="s">
        <v>17</v>
      </c>
      <c r="I295">
        <v>6.7</v>
      </c>
      <c r="J295">
        <v>6</v>
      </c>
      <c r="K295" t="s">
        <v>24</v>
      </c>
      <c r="L295">
        <v>3</v>
      </c>
      <c r="M295">
        <v>7</v>
      </c>
      <c r="N295" t="str">
        <f t="shared" si="20"/>
        <v>Medium</v>
      </c>
      <c r="O295" t="str">
        <f t="shared" si="21"/>
        <v>High</v>
      </c>
      <c r="P295" t="str">
        <f t="shared" si="22"/>
        <v>Average</v>
      </c>
      <c r="Q295" t="str">
        <f t="shared" si="23"/>
        <v>Bad</v>
      </c>
      <c r="R295" t="str">
        <f t="shared" si="24"/>
        <v>High</v>
      </c>
    </row>
    <row r="296" spans="1:18" x14ac:dyDescent="0.45">
      <c r="A296">
        <v>295</v>
      </c>
      <c r="B296">
        <v>20</v>
      </c>
      <c r="C296" t="s">
        <v>13</v>
      </c>
      <c r="D296" t="s">
        <v>14</v>
      </c>
      <c r="E296" t="s">
        <v>33</v>
      </c>
      <c r="F296">
        <v>4.2</v>
      </c>
      <c r="G296" t="s">
        <v>32</v>
      </c>
      <c r="H296" t="s">
        <v>23</v>
      </c>
      <c r="I296">
        <v>7.6</v>
      </c>
      <c r="J296">
        <v>7</v>
      </c>
      <c r="K296" t="s">
        <v>18</v>
      </c>
      <c r="L296">
        <v>2</v>
      </c>
      <c r="M296">
        <v>5</v>
      </c>
      <c r="N296" t="str">
        <f t="shared" si="20"/>
        <v>Medium</v>
      </c>
      <c r="O296" t="str">
        <f t="shared" si="21"/>
        <v>Average</v>
      </c>
      <c r="P296" t="str">
        <f t="shared" si="22"/>
        <v>High</v>
      </c>
      <c r="Q296" t="str">
        <f t="shared" si="23"/>
        <v>Bad</v>
      </c>
      <c r="R296" t="str">
        <f t="shared" si="24"/>
        <v>Medium</v>
      </c>
    </row>
    <row r="297" spans="1:18" x14ac:dyDescent="0.45">
      <c r="A297">
        <v>296</v>
      </c>
      <c r="B297">
        <v>22</v>
      </c>
      <c r="C297" t="s">
        <v>19</v>
      </c>
      <c r="D297" t="s">
        <v>20</v>
      </c>
      <c r="E297" t="s">
        <v>34</v>
      </c>
      <c r="F297">
        <v>3.4</v>
      </c>
      <c r="G297" t="s">
        <v>16</v>
      </c>
      <c r="H297" t="s">
        <v>23</v>
      </c>
      <c r="I297">
        <v>8.1</v>
      </c>
      <c r="J297">
        <v>8</v>
      </c>
      <c r="K297" t="s">
        <v>24</v>
      </c>
      <c r="L297">
        <v>1</v>
      </c>
      <c r="M297">
        <v>4</v>
      </c>
      <c r="N297" t="str">
        <f t="shared" si="20"/>
        <v>Low</v>
      </c>
      <c r="O297" t="str">
        <f t="shared" si="21"/>
        <v>Average</v>
      </c>
      <c r="P297" t="str">
        <f t="shared" si="22"/>
        <v>High</v>
      </c>
      <c r="Q297" t="str">
        <f t="shared" si="23"/>
        <v>Good</v>
      </c>
      <c r="R297" t="str">
        <f t="shared" si="24"/>
        <v>Medium</v>
      </c>
    </row>
    <row r="298" spans="1:18" x14ac:dyDescent="0.45">
      <c r="A298">
        <v>297</v>
      </c>
      <c r="B298">
        <v>19</v>
      </c>
      <c r="C298" t="s">
        <v>13</v>
      </c>
      <c r="D298" t="s">
        <v>14</v>
      </c>
      <c r="E298" t="s">
        <v>38</v>
      </c>
      <c r="F298">
        <v>2.9</v>
      </c>
      <c r="G298" t="s">
        <v>140</v>
      </c>
      <c r="H298" t="s">
        <v>23</v>
      </c>
      <c r="I298">
        <v>8.6999999999999993</v>
      </c>
      <c r="J298">
        <v>8</v>
      </c>
      <c r="K298" t="s">
        <v>24</v>
      </c>
      <c r="L298">
        <v>1</v>
      </c>
      <c r="M298">
        <v>3</v>
      </c>
      <c r="N298" t="str">
        <f t="shared" si="20"/>
        <v>Low</v>
      </c>
      <c r="O298" t="str">
        <f t="shared" si="21"/>
        <v>High</v>
      </c>
      <c r="P298" t="str">
        <f t="shared" si="22"/>
        <v>High</v>
      </c>
      <c r="Q298" t="str">
        <f t="shared" si="23"/>
        <v>Good</v>
      </c>
      <c r="R298" t="str">
        <f t="shared" si="24"/>
        <v>Less</v>
      </c>
    </row>
    <row r="299" spans="1:18" x14ac:dyDescent="0.45">
      <c r="A299">
        <v>298</v>
      </c>
      <c r="B299">
        <v>21</v>
      </c>
      <c r="C299" t="s">
        <v>19</v>
      </c>
      <c r="D299" t="s">
        <v>20</v>
      </c>
      <c r="E299" t="s">
        <v>42</v>
      </c>
      <c r="F299">
        <v>5.0999999999999996</v>
      </c>
      <c r="G299" t="s">
        <v>26</v>
      </c>
      <c r="H299" t="s">
        <v>17</v>
      </c>
      <c r="I299">
        <v>7</v>
      </c>
      <c r="J299">
        <v>5</v>
      </c>
      <c r="K299" t="s">
        <v>18</v>
      </c>
      <c r="L299">
        <v>3</v>
      </c>
      <c r="M299">
        <v>8</v>
      </c>
      <c r="N299" t="str">
        <f t="shared" si="20"/>
        <v>Medium</v>
      </c>
      <c r="O299" t="str">
        <f t="shared" si="21"/>
        <v>High</v>
      </c>
      <c r="P299" t="str">
        <f t="shared" si="22"/>
        <v>Average</v>
      </c>
      <c r="Q299" t="str">
        <f t="shared" si="23"/>
        <v>Bad</v>
      </c>
      <c r="R299" t="str">
        <f t="shared" si="24"/>
        <v>High</v>
      </c>
    </row>
    <row r="300" spans="1:18" x14ac:dyDescent="0.45">
      <c r="A300">
        <v>299</v>
      </c>
      <c r="B300">
        <v>20</v>
      </c>
      <c r="C300" t="s">
        <v>13</v>
      </c>
      <c r="D300" t="s">
        <v>14</v>
      </c>
      <c r="E300" t="s">
        <v>39</v>
      </c>
      <c r="F300">
        <v>4.4000000000000004</v>
      </c>
      <c r="G300" t="s">
        <v>141</v>
      </c>
      <c r="H300" t="s">
        <v>17</v>
      </c>
      <c r="I300">
        <v>7.4</v>
      </c>
      <c r="J300">
        <v>6</v>
      </c>
      <c r="K300" t="s">
        <v>24</v>
      </c>
      <c r="L300">
        <v>3</v>
      </c>
      <c r="M300">
        <v>6</v>
      </c>
      <c r="N300" t="str">
        <f t="shared" si="20"/>
        <v>Medium</v>
      </c>
      <c r="O300" t="str">
        <f t="shared" si="21"/>
        <v>High</v>
      </c>
      <c r="P300" t="str">
        <f t="shared" si="22"/>
        <v>High</v>
      </c>
      <c r="Q300" t="str">
        <f t="shared" si="23"/>
        <v>Bad</v>
      </c>
      <c r="R300" t="str">
        <f t="shared" si="24"/>
        <v>Medium</v>
      </c>
    </row>
    <row r="301" spans="1:18" x14ac:dyDescent="0.45">
      <c r="A301">
        <v>300</v>
      </c>
      <c r="B301">
        <v>22</v>
      </c>
      <c r="C301" t="s">
        <v>19</v>
      </c>
      <c r="D301" t="s">
        <v>20</v>
      </c>
      <c r="E301" t="s">
        <v>44</v>
      </c>
      <c r="F301">
        <v>3.9</v>
      </c>
      <c r="G301" t="s">
        <v>142</v>
      </c>
      <c r="H301" t="s">
        <v>23</v>
      </c>
      <c r="I301">
        <v>8.1</v>
      </c>
      <c r="J301">
        <v>7</v>
      </c>
      <c r="K301" t="s">
        <v>18</v>
      </c>
      <c r="L301">
        <v>2</v>
      </c>
      <c r="M301">
        <v>5</v>
      </c>
      <c r="N301" t="str">
        <f t="shared" si="20"/>
        <v>Medium</v>
      </c>
      <c r="O301" t="str">
        <f t="shared" si="21"/>
        <v>High</v>
      </c>
      <c r="P301" t="str">
        <f t="shared" si="22"/>
        <v>High</v>
      </c>
      <c r="Q301" t="str">
        <f t="shared" si="23"/>
        <v>Bad</v>
      </c>
      <c r="R301" t="str">
        <f t="shared" si="24"/>
        <v>Medium</v>
      </c>
    </row>
    <row r="302" spans="1:18" x14ac:dyDescent="0.45">
      <c r="A302">
        <v>301</v>
      </c>
      <c r="B302">
        <v>19</v>
      </c>
      <c r="C302" t="s">
        <v>13</v>
      </c>
      <c r="D302" t="s">
        <v>14</v>
      </c>
      <c r="E302" t="s">
        <v>25</v>
      </c>
      <c r="F302">
        <v>6.9</v>
      </c>
      <c r="G302" t="s">
        <v>16</v>
      </c>
      <c r="H302" t="s">
        <v>17</v>
      </c>
      <c r="I302">
        <v>5.2</v>
      </c>
      <c r="J302">
        <v>4</v>
      </c>
      <c r="K302" t="s">
        <v>24</v>
      </c>
      <c r="L302">
        <v>4</v>
      </c>
      <c r="M302">
        <v>9</v>
      </c>
      <c r="N302" t="str">
        <f t="shared" si="20"/>
        <v>High</v>
      </c>
      <c r="O302" t="str">
        <f t="shared" si="21"/>
        <v>High</v>
      </c>
      <c r="P302" t="str">
        <f t="shared" si="22"/>
        <v>Average</v>
      </c>
      <c r="Q302" t="str">
        <f t="shared" si="23"/>
        <v>Worst</v>
      </c>
      <c r="R302" t="str">
        <f t="shared" si="24"/>
        <v>High</v>
      </c>
    </row>
    <row r="303" spans="1:18" x14ac:dyDescent="0.45">
      <c r="A303">
        <v>302</v>
      </c>
      <c r="B303">
        <v>21</v>
      </c>
      <c r="C303" t="s">
        <v>19</v>
      </c>
      <c r="D303" t="s">
        <v>20</v>
      </c>
      <c r="E303" t="s">
        <v>29</v>
      </c>
      <c r="F303">
        <v>4.8</v>
      </c>
      <c r="G303" t="s">
        <v>32</v>
      </c>
      <c r="H303" t="s">
        <v>17</v>
      </c>
      <c r="I303">
        <v>6.8</v>
      </c>
      <c r="J303">
        <v>6</v>
      </c>
      <c r="K303" t="s">
        <v>18</v>
      </c>
      <c r="L303">
        <v>3</v>
      </c>
      <c r="M303">
        <v>7</v>
      </c>
      <c r="N303" t="str">
        <f t="shared" si="20"/>
        <v>Medium</v>
      </c>
      <c r="O303" t="str">
        <f t="shared" si="21"/>
        <v>High</v>
      </c>
      <c r="P303" t="str">
        <f t="shared" si="22"/>
        <v>Average</v>
      </c>
      <c r="Q303" t="str">
        <f t="shared" si="23"/>
        <v>Bad</v>
      </c>
      <c r="R303" t="str">
        <f t="shared" si="24"/>
        <v>High</v>
      </c>
    </row>
    <row r="304" spans="1:18" x14ac:dyDescent="0.45">
      <c r="A304">
        <v>303</v>
      </c>
      <c r="B304">
        <v>20</v>
      </c>
      <c r="C304" t="s">
        <v>13</v>
      </c>
      <c r="D304" t="s">
        <v>14</v>
      </c>
      <c r="E304" t="s">
        <v>33</v>
      </c>
      <c r="F304">
        <v>4.0999999999999996</v>
      </c>
      <c r="G304" t="s">
        <v>16</v>
      </c>
      <c r="H304" t="s">
        <v>23</v>
      </c>
      <c r="I304">
        <v>7.7</v>
      </c>
      <c r="J304">
        <v>7</v>
      </c>
      <c r="K304" t="s">
        <v>24</v>
      </c>
      <c r="L304">
        <v>2</v>
      </c>
      <c r="M304">
        <v>5</v>
      </c>
      <c r="N304" t="str">
        <f t="shared" si="20"/>
        <v>Medium</v>
      </c>
      <c r="O304" t="str">
        <f t="shared" si="21"/>
        <v>Less</v>
      </c>
      <c r="P304" t="str">
        <f t="shared" si="22"/>
        <v>High</v>
      </c>
      <c r="Q304" t="str">
        <f t="shared" si="23"/>
        <v>Bad</v>
      </c>
      <c r="R304" t="str">
        <f t="shared" si="24"/>
        <v>Medium</v>
      </c>
    </row>
    <row r="305" spans="1:18" x14ac:dyDescent="0.45">
      <c r="A305">
        <v>304</v>
      </c>
      <c r="B305">
        <v>22</v>
      </c>
      <c r="C305" t="s">
        <v>19</v>
      </c>
      <c r="D305" t="s">
        <v>20</v>
      </c>
      <c r="E305" t="s">
        <v>34</v>
      </c>
      <c r="F305">
        <v>3.3</v>
      </c>
      <c r="G305" t="s">
        <v>32</v>
      </c>
      <c r="H305" t="s">
        <v>23</v>
      </c>
      <c r="I305">
        <v>8.1999999999999993</v>
      </c>
      <c r="J305">
        <v>8</v>
      </c>
      <c r="K305" t="s">
        <v>18</v>
      </c>
      <c r="L305">
        <v>1</v>
      </c>
      <c r="M305">
        <v>4</v>
      </c>
      <c r="N305" t="str">
        <f t="shared" si="20"/>
        <v>Low</v>
      </c>
      <c r="O305" t="str">
        <f t="shared" si="21"/>
        <v>Average</v>
      </c>
      <c r="P305" t="str">
        <f t="shared" si="22"/>
        <v>High</v>
      </c>
      <c r="Q305" t="str">
        <f t="shared" si="23"/>
        <v>Good</v>
      </c>
      <c r="R305" t="str">
        <f t="shared" si="24"/>
        <v>Medium</v>
      </c>
    </row>
    <row r="306" spans="1:18" x14ac:dyDescent="0.45">
      <c r="A306">
        <v>305</v>
      </c>
      <c r="B306">
        <v>19</v>
      </c>
      <c r="C306" t="s">
        <v>13</v>
      </c>
      <c r="D306" t="s">
        <v>14</v>
      </c>
      <c r="E306" t="s">
        <v>38</v>
      </c>
      <c r="F306">
        <v>2.8</v>
      </c>
      <c r="G306" t="s">
        <v>140</v>
      </c>
      <c r="H306" t="s">
        <v>23</v>
      </c>
      <c r="I306">
        <v>8.8000000000000007</v>
      </c>
      <c r="J306">
        <v>8</v>
      </c>
      <c r="K306" t="s">
        <v>24</v>
      </c>
      <c r="L306">
        <v>1</v>
      </c>
      <c r="M306">
        <v>3</v>
      </c>
      <c r="N306" t="str">
        <f t="shared" si="20"/>
        <v>Low</v>
      </c>
      <c r="O306" t="str">
        <f t="shared" si="21"/>
        <v>High</v>
      </c>
      <c r="P306" t="str">
        <f t="shared" si="22"/>
        <v>High</v>
      </c>
      <c r="Q306" t="str">
        <f t="shared" si="23"/>
        <v>Good</v>
      </c>
      <c r="R306" t="str">
        <f t="shared" si="24"/>
        <v>Less</v>
      </c>
    </row>
    <row r="307" spans="1:18" x14ac:dyDescent="0.45">
      <c r="A307">
        <v>306</v>
      </c>
      <c r="B307">
        <v>21</v>
      </c>
      <c r="C307" t="s">
        <v>19</v>
      </c>
      <c r="D307" t="s">
        <v>20</v>
      </c>
      <c r="E307" t="s">
        <v>42</v>
      </c>
      <c r="F307">
        <v>5</v>
      </c>
      <c r="G307" t="s">
        <v>16</v>
      </c>
      <c r="H307" t="s">
        <v>17</v>
      </c>
      <c r="I307">
        <v>7.1</v>
      </c>
      <c r="J307">
        <v>5</v>
      </c>
      <c r="K307" t="s">
        <v>24</v>
      </c>
      <c r="L307">
        <v>3</v>
      </c>
      <c r="M307">
        <v>7</v>
      </c>
      <c r="N307" t="str">
        <f t="shared" si="20"/>
        <v>Medium</v>
      </c>
      <c r="O307" t="str">
        <f t="shared" si="21"/>
        <v>High</v>
      </c>
      <c r="P307" t="str">
        <f t="shared" si="22"/>
        <v>High</v>
      </c>
      <c r="Q307" t="str">
        <f t="shared" si="23"/>
        <v>Bad</v>
      </c>
      <c r="R307" t="str">
        <f t="shared" si="24"/>
        <v>High</v>
      </c>
    </row>
    <row r="308" spans="1:18" x14ac:dyDescent="0.45">
      <c r="A308">
        <v>307</v>
      </c>
      <c r="B308">
        <v>20</v>
      </c>
      <c r="C308" t="s">
        <v>13</v>
      </c>
      <c r="D308" t="s">
        <v>14</v>
      </c>
      <c r="E308" t="s">
        <v>39</v>
      </c>
      <c r="F308">
        <v>4.3</v>
      </c>
      <c r="G308" t="s">
        <v>141</v>
      </c>
      <c r="H308" t="s">
        <v>17</v>
      </c>
      <c r="I308">
        <v>7.5</v>
      </c>
      <c r="J308">
        <v>6</v>
      </c>
      <c r="K308" t="s">
        <v>18</v>
      </c>
      <c r="L308">
        <v>3</v>
      </c>
      <c r="M308">
        <v>6</v>
      </c>
      <c r="N308" t="str">
        <f t="shared" si="20"/>
        <v>Medium</v>
      </c>
      <c r="O308" t="str">
        <f t="shared" si="21"/>
        <v>Average</v>
      </c>
      <c r="P308" t="str">
        <f t="shared" si="22"/>
        <v>High</v>
      </c>
      <c r="Q308" t="str">
        <f t="shared" si="23"/>
        <v>Bad</v>
      </c>
      <c r="R308" t="str">
        <f t="shared" si="24"/>
        <v>Medium</v>
      </c>
    </row>
    <row r="309" spans="1:18" x14ac:dyDescent="0.45">
      <c r="A309">
        <v>308</v>
      </c>
      <c r="B309">
        <v>22</v>
      </c>
      <c r="C309" t="s">
        <v>19</v>
      </c>
      <c r="D309" t="s">
        <v>20</v>
      </c>
      <c r="E309" t="s">
        <v>44</v>
      </c>
      <c r="F309">
        <v>3.8</v>
      </c>
      <c r="G309" t="s">
        <v>142</v>
      </c>
      <c r="H309" t="s">
        <v>23</v>
      </c>
      <c r="I309">
        <v>8.1999999999999993</v>
      </c>
      <c r="J309">
        <v>7</v>
      </c>
      <c r="K309" t="s">
        <v>24</v>
      </c>
      <c r="L309">
        <v>2</v>
      </c>
      <c r="M309">
        <v>5</v>
      </c>
      <c r="N309" t="str">
        <f t="shared" si="20"/>
        <v>Medium</v>
      </c>
      <c r="O309" t="str">
        <f t="shared" si="21"/>
        <v>High</v>
      </c>
      <c r="P309" t="str">
        <f t="shared" si="22"/>
        <v>High</v>
      </c>
      <c r="Q309" t="str">
        <f t="shared" si="23"/>
        <v>Bad</v>
      </c>
      <c r="R309" t="str">
        <f t="shared" si="24"/>
        <v>Medium</v>
      </c>
    </row>
    <row r="310" spans="1:18" x14ac:dyDescent="0.45">
      <c r="A310">
        <v>309</v>
      </c>
      <c r="B310">
        <v>19</v>
      </c>
      <c r="C310" t="s">
        <v>13</v>
      </c>
      <c r="D310" t="s">
        <v>14</v>
      </c>
      <c r="E310" t="s">
        <v>25</v>
      </c>
      <c r="F310">
        <v>7</v>
      </c>
      <c r="G310" t="s">
        <v>26</v>
      </c>
      <c r="H310" t="s">
        <v>17</v>
      </c>
      <c r="I310">
        <v>5.0999999999999996</v>
      </c>
      <c r="J310">
        <v>4</v>
      </c>
      <c r="K310" t="s">
        <v>18</v>
      </c>
      <c r="L310">
        <v>4</v>
      </c>
      <c r="M310">
        <v>9</v>
      </c>
      <c r="N310" t="str">
        <f t="shared" si="20"/>
        <v>High</v>
      </c>
      <c r="O310" t="str">
        <f t="shared" si="21"/>
        <v>Average</v>
      </c>
      <c r="P310" t="str">
        <f t="shared" si="22"/>
        <v>Average</v>
      </c>
      <c r="Q310" t="str">
        <f t="shared" si="23"/>
        <v>Worst</v>
      </c>
      <c r="R310" t="str">
        <f t="shared" si="24"/>
        <v>High</v>
      </c>
    </row>
    <row r="311" spans="1:18" x14ac:dyDescent="0.45">
      <c r="A311">
        <v>310</v>
      </c>
      <c r="B311">
        <v>21</v>
      </c>
      <c r="C311" t="s">
        <v>19</v>
      </c>
      <c r="D311" t="s">
        <v>20</v>
      </c>
      <c r="E311" t="s">
        <v>29</v>
      </c>
      <c r="F311">
        <v>4.7</v>
      </c>
      <c r="G311" t="s">
        <v>16</v>
      </c>
      <c r="H311" t="s">
        <v>17</v>
      </c>
      <c r="I311">
        <v>6.9</v>
      </c>
      <c r="J311">
        <v>6</v>
      </c>
      <c r="K311" t="s">
        <v>24</v>
      </c>
      <c r="L311">
        <v>3</v>
      </c>
      <c r="M311">
        <v>7</v>
      </c>
      <c r="N311" t="str">
        <f t="shared" si="20"/>
        <v>Medium</v>
      </c>
      <c r="O311" t="str">
        <f t="shared" si="21"/>
        <v>Average</v>
      </c>
      <c r="P311" t="str">
        <f t="shared" si="22"/>
        <v>Average</v>
      </c>
      <c r="Q311" t="str">
        <f t="shared" si="23"/>
        <v>Bad</v>
      </c>
      <c r="R311" t="str">
        <f t="shared" si="24"/>
        <v>High</v>
      </c>
    </row>
    <row r="312" spans="1:18" x14ac:dyDescent="0.45">
      <c r="A312">
        <v>311</v>
      </c>
      <c r="B312">
        <v>20</v>
      </c>
      <c r="C312" t="s">
        <v>13</v>
      </c>
      <c r="D312" t="s">
        <v>14</v>
      </c>
      <c r="E312" t="s">
        <v>33</v>
      </c>
      <c r="F312">
        <v>4</v>
      </c>
      <c r="G312" t="s">
        <v>32</v>
      </c>
      <c r="H312" t="s">
        <v>23</v>
      </c>
      <c r="I312">
        <v>7.8</v>
      </c>
      <c r="J312">
        <v>7</v>
      </c>
      <c r="K312" t="s">
        <v>18</v>
      </c>
      <c r="L312">
        <v>2</v>
      </c>
      <c r="M312">
        <v>5</v>
      </c>
      <c r="N312" t="str">
        <f t="shared" si="20"/>
        <v>Medium</v>
      </c>
      <c r="O312" t="str">
        <f t="shared" si="21"/>
        <v>High</v>
      </c>
      <c r="P312" t="str">
        <f t="shared" si="22"/>
        <v>High</v>
      </c>
      <c r="Q312" t="str">
        <f t="shared" si="23"/>
        <v>Bad</v>
      </c>
      <c r="R312" t="str">
        <f t="shared" si="24"/>
        <v>Medium</v>
      </c>
    </row>
    <row r="313" spans="1:18" x14ac:dyDescent="0.45">
      <c r="A313">
        <v>312</v>
      </c>
      <c r="B313">
        <v>22</v>
      </c>
      <c r="C313" t="s">
        <v>19</v>
      </c>
      <c r="D313" t="s">
        <v>20</v>
      </c>
      <c r="E313" t="s">
        <v>34</v>
      </c>
      <c r="F313">
        <v>3.2</v>
      </c>
      <c r="G313" t="s">
        <v>16</v>
      </c>
      <c r="H313" t="s">
        <v>23</v>
      </c>
      <c r="I313">
        <v>8.3000000000000007</v>
      </c>
      <c r="J313">
        <v>8</v>
      </c>
      <c r="K313" t="s">
        <v>24</v>
      </c>
      <c r="L313">
        <v>1</v>
      </c>
      <c r="M313">
        <v>4</v>
      </c>
      <c r="N313" t="str">
        <f t="shared" si="20"/>
        <v>Low</v>
      </c>
      <c r="O313" t="str">
        <f t="shared" si="21"/>
        <v>Average</v>
      </c>
      <c r="P313" t="str">
        <f t="shared" si="22"/>
        <v>High</v>
      </c>
      <c r="Q313" t="str">
        <f t="shared" si="23"/>
        <v>Good</v>
      </c>
      <c r="R313" t="str">
        <f t="shared" si="24"/>
        <v>Medium</v>
      </c>
    </row>
    <row r="314" spans="1:18" x14ac:dyDescent="0.45">
      <c r="A314">
        <v>313</v>
      </c>
      <c r="B314">
        <v>19</v>
      </c>
      <c r="C314" t="s">
        <v>13</v>
      </c>
      <c r="D314" t="s">
        <v>14</v>
      </c>
      <c r="E314" t="s">
        <v>38</v>
      </c>
      <c r="F314">
        <v>2.7</v>
      </c>
      <c r="G314" t="s">
        <v>140</v>
      </c>
      <c r="H314" t="s">
        <v>23</v>
      </c>
      <c r="I314">
        <v>8.9</v>
      </c>
      <c r="J314">
        <v>8</v>
      </c>
      <c r="K314" t="s">
        <v>24</v>
      </c>
      <c r="L314">
        <v>1</v>
      </c>
      <c r="M314">
        <v>3</v>
      </c>
      <c r="N314" t="str">
        <f t="shared" si="20"/>
        <v>Low</v>
      </c>
      <c r="O314" t="str">
        <f t="shared" si="21"/>
        <v>Average</v>
      </c>
      <c r="P314" t="str">
        <f t="shared" si="22"/>
        <v>High</v>
      </c>
      <c r="Q314" t="str">
        <f t="shared" si="23"/>
        <v>Good</v>
      </c>
      <c r="R314" t="str">
        <f t="shared" si="24"/>
        <v>Less</v>
      </c>
    </row>
    <row r="315" spans="1:18" x14ac:dyDescent="0.45">
      <c r="A315">
        <v>314</v>
      </c>
      <c r="B315">
        <v>21</v>
      </c>
      <c r="C315" t="s">
        <v>19</v>
      </c>
      <c r="D315" t="s">
        <v>20</v>
      </c>
      <c r="E315" t="s">
        <v>42</v>
      </c>
      <c r="F315">
        <v>4.9000000000000004</v>
      </c>
      <c r="G315" t="s">
        <v>26</v>
      </c>
      <c r="H315" t="s">
        <v>17</v>
      </c>
      <c r="I315">
        <v>7.2</v>
      </c>
      <c r="J315">
        <v>5</v>
      </c>
      <c r="K315" t="s">
        <v>18</v>
      </c>
      <c r="L315">
        <v>3</v>
      </c>
      <c r="M315">
        <v>8</v>
      </c>
      <c r="N315" t="str">
        <f t="shared" si="20"/>
        <v>Medium</v>
      </c>
      <c r="O315" t="str">
        <f t="shared" si="21"/>
        <v>Average</v>
      </c>
      <c r="P315" t="str">
        <f t="shared" si="22"/>
        <v>High</v>
      </c>
      <c r="Q315" t="str">
        <f t="shared" si="23"/>
        <v>Bad</v>
      </c>
      <c r="R315" t="str">
        <f t="shared" si="24"/>
        <v>High</v>
      </c>
    </row>
    <row r="316" spans="1:18" x14ac:dyDescent="0.45">
      <c r="A316">
        <v>315</v>
      </c>
      <c r="B316">
        <v>20</v>
      </c>
      <c r="C316" t="s">
        <v>13</v>
      </c>
      <c r="D316" t="s">
        <v>14</v>
      </c>
      <c r="E316" t="s">
        <v>39</v>
      </c>
      <c r="F316">
        <v>4.2</v>
      </c>
      <c r="G316" t="s">
        <v>141</v>
      </c>
      <c r="H316" t="s">
        <v>17</v>
      </c>
      <c r="I316">
        <v>7.6</v>
      </c>
      <c r="J316">
        <v>6</v>
      </c>
      <c r="K316" t="s">
        <v>24</v>
      </c>
      <c r="L316">
        <v>3</v>
      </c>
      <c r="M316">
        <v>6</v>
      </c>
      <c r="N316" t="str">
        <f t="shared" si="20"/>
        <v>Medium</v>
      </c>
      <c r="O316" t="str">
        <f t="shared" si="21"/>
        <v>High</v>
      </c>
      <c r="P316" t="str">
        <f t="shared" si="22"/>
        <v>High</v>
      </c>
      <c r="Q316" t="str">
        <f t="shared" si="23"/>
        <v>Bad</v>
      </c>
      <c r="R316" t="str">
        <f t="shared" si="24"/>
        <v>Medium</v>
      </c>
    </row>
    <row r="317" spans="1:18" x14ac:dyDescent="0.45">
      <c r="A317">
        <v>316</v>
      </c>
      <c r="B317">
        <v>22</v>
      </c>
      <c r="C317" t="s">
        <v>19</v>
      </c>
      <c r="D317" t="s">
        <v>20</v>
      </c>
      <c r="E317" t="s">
        <v>44</v>
      </c>
      <c r="F317">
        <v>3.7</v>
      </c>
      <c r="G317" t="s">
        <v>142</v>
      </c>
      <c r="H317" t="s">
        <v>23</v>
      </c>
      <c r="I317">
        <v>8.3000000000000007</v>
      </c>
      <c r="J317">
        <v>7</v>
      </c>
      <c r="K317" t="s">
        <v>18</v>
      </c>
      <c r="L317">
        <v>2</v>
      </c>
      <c r="M317">
        <v>5</v>
      </c>
      <c r="N317" t="str">
        <f t="shared" si="20"/>
        <v>Medium</v>
      </c>
      <c r="O317" t="str">
        <f t="shared" si="21"/>
        <v>Average</v>
      </c>
      <c r="P317" t="str">
        <f t="shared" si="22"/>
        <v>High</v>
      </c>
      <c r="Q317" t="str">
        <f t="shared" si="23"/>
        <v>Bad</v>
      </c>
      <c r="R317" t="str">
        <f t="shared" si="24"/>
        <v>Medium</v>
      </c>
    </row>
    <row r="318" spans="1:18" x14ac:dyDescent="0.45">
      <c r="A318">
        <v>317</v>
      </c>
      <c r="B318">
        <v>19</v>
      </c>
      <c r="C318" t="s">
        <v>13</v>
      </c>
      <c r="D318" t="s">
        <v>14</v>
      </c>
      <c r="E318" t="s">
        <v>25</v>
      </c>
      <c r="F318">
        <v>7.1</v>
      </c>
      <c r="G318" t="s">
        <v>16</v>
      </c>
      <c r="H318" t="s">
        <v>17</v>
      </c>
      <c r="I318">
        <v>5</v>
      </c>
      <c r="J318">
        <v>4</v>
      </c>
      <c r="K318" t="s">
        <v>24</v>
      </c>
      <c r="L318">
        <v>4</v>
      </c>
      <c r="M318">
        <v>9</v>
      </c>
      <c r="N318" t="str">
        <f t="shared" si="20"/>
        <v>High</v>
      </c>
      <c r="O318" t="str">
        <f t="shared" si="21"/>
        <v>Average</v>
      </c>
      <c r="P318" t="str">
        <f t="shared" si="22"/>
        <v>Less</v>
      </c>
      <c r="Q318" t="str">
        <f t="shared" si="23"/>
        <v>Worst</v>
      </c>
      <c r="R318" t="str">
        <f t="shared" si="24"/>
        <v>High</v>
      </c>
    </row>
    <row r="319" spans="1:18" x14ac:dyDescent="0.45">
      <c r="A319">
        <v>318</v>
      </c>
      <c r="B319">
        <v>21</v>
      </c>
      <c r="C319" t="s">
        <v>19</v>
      </c>
      <c r="D319" t="s">
        <v>20</v>
      </c>
      <c r="E319" t="s">
        <v>29</v>
      </c>
      <c r="F319">
        <v>4.5999999999999996</v>
      </c>
      <c r="G319" t="s">
        <v>32</v>
      </c>
      <c r="H319" t="s">
        <v>17</v>
      </c>
      <c r="I319">
        <v>7</v>
      </c>
      <c r="J319">
        <v>6</v>
      </c>
      <c r="K319" t="s">
        <v>18</v>
      </c>
      <c r="L319">
        <v>3</v>
      </c>
      <c r="M319">
        <v>7</v>
      </c>
      <c r="N319" t="str">
        <f t="shared" si="20"/>
        <v>Medium</v>
      </c>
      <c r="O319" t="str">
        <f t="shared" si="21"/>
        <v>High</v>
      </c>
      <c r="P319" t="str">
        <f t="shared" si="22"/>
        <v>Average</v>
      </c>
      <c r="Q319" t="str">
        <f t="shared" si="23"/>
        <v>Bad</v>
      </c>
      <c r="R319" t="str">
        <f t="shared" si="24"/>
        <v>High</v>
      </c>
    </row>
    <row r="320" spans="1:18" x14ac:dyDescent="0.45">
      <c r="A320">
        <v>319</v>
      </c>
      <c r="B320">
        <v>20</v>
      </c>
      <c r="C320" t="s">
        <v>13</v>
      </c>
      <c r="D320" t="s">
        <v>14</v>
      </c>
      <c r="E320" t="s">
        <v>33</v>
      </c>
      <c r="F320">
        <v>3.9</v>
      </c>
      <c r="G320" t="s">
        <v>16</v>
      </c>
      <c r="H320" t="s">
        <v>23</v>
      </c>
      <c r="I320">
        <v>7.9</v>
      </c>
      <c r="J320">
        <v>7</v>
      </c>
      <c r="K320" t="s">
        <v>24</v>
      </c>
      <c r="L320">
        <v>2</v>
      </c>
      <c r="M320">
        <v>5</v>
      </c>
      <c r="N320" t="str">
        <f t="shared" si="20"/>
        <v>Medium</v>
      </c>
      <c r="O320" t="str">
        <f t="shared" si="21"/>
        <v>High</v>
      </c>
      <c r="P320" t="str">
        <f t="shared" si="22"/>
        <v>High</v>
      </c>
      <c r="Q320" t="str">
        <f t="shared" si="23"/>
        <v>Bad</v>
      </c>
      <c r="R320" t="str">
        <f t="shared" si="24"/>
        <v>Medium</v>
      </c>
    </row>
    <row r="321" spans="1:18" x14ac:dyDescent="0.45">
      <c r="A321">
        <v>320</v>
      </c>
      <c r="B321">
        <v>22</v>
      </c>
      <c r="C321" t="s">
        <v>19</v>
      </c>
      <c r="D321" t="s">
        <v>20</v>
      </c>
      <c r="E321" t="s">
        <v>34</v>
      </c>
      <c r="F321">
        <v>3.1</v>
      </c>
      <c r="G321" t="s">
        <v>32</v>
      </c>
      <c r="H321" t="s">
        <v>23</v>
      </c>
      <c r="I321">
        <v>8.4</v>
      </c>
      <c r="J321">
        <v>8</v>
      </c>
      <c r="K321" t="s">
        <v>18</v>
      </c>
      <c r="L321">
        <v>1</v>
      </c>
      <c r="M321">
        <v>4</v>
      </c>
      <c r="N321" t="str">
        <f t="shared" si="20"/>
        <v>Low</v>
      </c>
      <c r="O321" t="str">
        <f t="shared" si="21"/>
        <v>Average</v>
      </c>
      <c r="P321" t="str">
        <f t="shared" si="22"/>
        <v>High</v>
      </c>
      <c r="Q321" t="str">
        <f t="shared" si="23"/>
        <v>Good</v>
      </c>
      <c r="R321" t="str">
        <f t="shared" si="24"/>
        <v>Medium</v>
      </c>
    </row>
    <row r="322" spans="1:18" x14ac:dyDescent="0.45">
      <c r="A322">
        <v>321</v>
      </c>
      <c r="B322">
        <v>19</v>
      </c>
      <c r="C322" t="s">
        <v>13</v>
      </c>
      <c r="D322" t="s">
        <v>14</v>
      </c>
      <c r="E322" t="s">
        <v>41</v>
      </c>
      <c r="F322">
        <v>5.2</v>
      </c>
      <c r="G322" t="s">
        <v>16</v>
      </c>
      <c r="H322" t="s">
        <v>17</v>
      </c>
      <c r="I322">
        <v>6.8</v>
      </c>
      <c r="J322">
        <v>6</v>
      </c>
      <c r="K322" t="s">
        <v>24</v>
      </c>
      <c r="L322">
        <v>3</v>
      </c>
      <c r="M322">
        <v>7</v>
      </c>
      <c r="N322" t="str">
        <f t="shared" si="20"/>
        <v>Medium</v>
      </c>
      <c r="O322" t="str">
        <f t="shared" si="21"/>
        <v>High</v>
      </c>
      <c r="P322" t="str">
        <f t="shared" si="22"/>
        <v>Average</v>
      </c>
      <c r="Q322" t="str">
        <f t="shared" si="23"/>
        <v>Bad</v>
      </c>
      <c r="R322" t="str">
        <f t="shared" si="24"/>
        <v>High</v>
      </c>
    </row>
    <row r="323" spans="1:18" x14ac:dyDescent="0.45">
      <c r="A323">
        <v>322</v>
      </c>
      <c r="B323">
        <v>21</v>
      </c>
      <c r="C323" t="s">
        <v>19</v>
      </c>
      <c r="D323" t="s">
        <v>20</v>
      </c>
      <c r="E323" t="s">
        <v>48</v>
      </c>
      <c r="F323">
        <v>4.0999999999999996</v>
      </c>
      <c r="G323" t="s">
        <v>32</v>
      </c>
      <c r="H323" t="s">
        <v>23</v>
      </c>
      <c r="I323">
        <v>7.8</v>
      </c>
      <c r="J323">
        <v>8</v>
      </c>
      <c r="K323" t="s">
        <v>18</v>
      </c>
      <c r="L323">
        <v>2</v>
      </c>
      <c r="M323">
        <v>4</v>
      </c>
      <c r="N323" t="str">
        <f t="shared" ref="N323:N386" si="25">IF(AND(F323&gt;=1.5,F323&lt;=3.5),"Low",IF(AND(F323&gt;3.5,F323&lt;=6.5),"Medium","High"))</f>
        <v>Medium</v>
      </c>
      <c r="O323" t="str">
        <f t="shared" ref="O323:O386" si="26">IF(AND(I337&gt;=3.8,I337&lt;=5),"Less",IF(AND(I337&gt;5,I337&lt;=7),"Average","High"))</f>
        <v>Average</v>
      </c>
      <c r="P323" t="str">
        <f t="shared" ref="P323:P386" si="27">IF(AND(I323&gt;=3.8,I323&lt;=5),"Less",IF(AND(I323&gt;5,I323&lt;=7),"Average","High"))</f>
        <v>High</v>
      </c>
      <c r="Q323" t="str">
        <f t="shared" si="23"/>
        <v>Good</v>
      </c>
      <c r="R323" t="str">
        <f t="shared" si="24"/>
        <v>Medium</v>
      </c>
    </row>
    <row r="324" spans="1:18" x14ac:dyDescent="0.45">
      <c r="A324">
        <v>323</v>
      </c>
      <c r="B324">
        <v>20</v>
      </c>
      <c r="C324" t="s">
        <v>13</v>
      </c>
      <c r="D324" t="s">
        <v>14</v>
      </c>
      <c r="E324" t="s">
        <v>55</v>
      </c>
      <c r="F324">
        <v>5</v>
      </c>
      <c r="G324" t="s">
        <v>16</v>
      </c>
      <c r="H324" t="s">
        <v>17</v>
      </c>
      <c r="I324">
        <v>7</v>
      </c>
      <c r="J324">
        <v>7</v>
      </c>
      <c r="K324" t="s">
        <v>24</v>
      </c>
      <c r="L324">
        <v>3</v>
      </c>
      <c r="M324">
        <v>6</v>
      </c>
      <c r="N324" t="str">
        <f t="shared" si="25"/>
        <v>Medium</v>
      </c>
      <c r="O324" t="str">
        <f t="shared" si="26"/>
        <v>Average</v>
      </c>
      <c r="P324" t="str">
        <f t="shared" si="27"/>
        <v>Average</v>
      </c>
      <c r="Q324" t="str">
        <f t="shared" si="23"/>
        <v>Bad</v>
      </c>
      <c r="R324" t="str">
        <f t="shared" si="24"/>
        <v>Medium</v>
      </c>
    </row>
    <row r="325" spans="1:18" x14ac:dyDescent="0.45">
      <c r="A325">
        <v>324</v>
      </c>
      <c r="B325">
        <v>22</v>
      </c>
      <c r="C325" t="s">
        <v>19</v>
      </c>
      <c r="D325" t="s">
        <v>20</v>
      </c>
      <c r="E325" t="s">
        <v>21</v>
      </c>
      <c r="F325">
        <v>5.8</v>
      </c>
      <c r="G325" t="s">
        <v>143</v>
      </c>
      <c r="H325" t="s">
        <v>17</v>
      </c>
      <c r="I325">
        <v>6.5</v>
      </c>
      <c r="J325">
        <v>5</v>
      </c>
      <c r="K325" t="s">
        <v>18</v>
      </c>
      <c r="L325">
        <v>4</v>
      </c>
      <c r="M325">
        <v>8</v>
      </c>
      <c r="N325" t="str">
        <f t="shared" si="25"/>
        <v>Medium</v>
      </c>
      <c r="O325" t="str">
        <f t="shared" si="26"/>
        <v>Average</v>
      </c>
      <c r="P325" t="str">
        <f t="shared" si="27"/>
        <v>Average</v>
      </c>
      <c r="Q325" t="str">
        <f t="shared" si="23"/>
        <v>Bad</v>
      </c>
      <c r="R325" t="str">
        <f t="shared" si="24"/>
        <v>High</v>
      </c>
    </row>
    <row r="326" spans="1:18" x14ac:dyDescent="0.45">
      <c r="A326">
        <v>325</v>
      </c>
      <c r="B326">
        <v>19</v>
      </c>
      <c r="C326" t="s">
        <v>13</v>
      </c>
      <c r="D326" t="s">
        <v>14</v>
      </c>
      <c r="E326" t="s">
        <v>51</v>
      </c>
      <c r="F326">
        <v>4</v>
      </c>
      <c r="G326" t="s">
        <v>16</v>
      </c>
      <c r="H326" t="s">
        <v>23</v>
      </c>
      <c r="I326">
        <v>7.9</v>
      </c>
      <c r="J326">
        <v>8</v>
      </c>
      <c r="K326" t="s">
        <v>24</v>
      </c>
      <c r="L326">
        <v>2</v>
      </c>
      <c r="M326">
        <v>4</v>
      </c>
      <c r="N326" t="str">
        <f t="shared" si="25"/>
        <v>Medium</v>
      </c>
      <c r="O326" t="str">
        <f t="shared" si="26"/>
        <v>High</v>
      </c>
      <c r="P326" t="str">
        <f t="shared" si="27"/>
        <v>High</v>
      </c>
      <c r="Q326" t="str">
        <f t="shared" ref="Q326:Q389" si="28">IF(AND(J326&gt;=0,J326&lt;=4),"Worst",IF(AND(J326&gt;4,J326&lt;=7),"Bad","Good"))</f>
        <v>Good</v>
      </c>
      <c r="R326" t="str">
        <f t="shared" ref="R326:R389" si="29">IF(AND(M326&gt;0,M326&lt;=3),"Less",IF(AND(M326&gt;3,M326&lt;=6),"Medium","High"))</f>
        <v>Medium</v>
      </c>
    </row>
    <row r="327" spans="1:18" x14ac:dyDescent="0.45">
      <c r="A327">
        <v>326</v>
      </c>
      <c r="B327">
        <v>21</v>
      </c>
      <c r="C327" t="s">
        <v>19</v>
      </c>
      <c r="D327" t="s">
        <v>20</v>
      </c>
      <c r="E327" t="s">
        <v>65</v>
      </c>
      <c r="F327">
        <v>5.5</v>
      </c>
      <c r="G327" t="s">
        <v>16</v>
      </c>
      <c r="H327" t="s">
        <v>17</v>
      </c>
      <c r="I327">
        <v>6.7</v>
      </c>
      <c r="J327">
        <v>6</v>
      </c>
      <c r="K327" t="s">
        <v>24</v>
      </c>
      <c r="L327">
        <v>3</v>
      </c>
      <c r="M327">
        <v>7</v>
      </c>
      <c r="N327" t="str">
        <f t="shared" si="25"/>
        <v>Medium</v>
      </c>
      <c r="O327" t="str">
        <f t="shared" si="26"/>
        <v>Average</v>
      </c>
      <c r="P327" t="str">
        <f t="shared" si="27"/>
        <v>Average</v>
      </c>
      <c r="Q327" t="str">
        <f t="shared" si="28"/>
        <v>Bad</v>
      </c>
      <c r="R327" t="str">
        <f t="shared" si="29"/>
        <v>High</v>
      </c>
    </row>
    <row r="328" spans="1:18" x14ac:dyDescent="0.45">
      <c r="A328">
        <v>327</v>
      </c>
      <c r="B328">
        <v>20</v>
      </c>
      <c r="C328" t="s">
        <v>13</v>
      </c>
      <c r="D328" t="s">
        <v>14</v>
      </c>
      <c r="E328" t="s">
        <v>25</v>
      </c>
      <c r="F328">
        <v>6.8</v>
      </c>
      <c r="G328" t="s">
        <v>26</v>
      </c>
      <c r="H328" t="s">
        <v>17</v>
      </c>
      <c r="I328">
        <v>5.5</v>
      </c>
      <c r="J328">
        <v>5</v>
      </c>
      <c r="K328" t="s">
        <v>18</v>
      </c>
      <c r="L328">
        <v>4</v>
      </c>
      <c r="M328">
        <v>9</v>
      </c>
      <c r="N328" t="str">
        <f t="shared" si="25"/>
        <v>High</v>
      </c>
      <c r="O328" t="str">
        <f t="shared" si="26"/>
        <v>Average</v>
      </c>
      <c r="P328" t="str">
        <f t="shared" si="27"/>
        <v>Average</v>
      </c>
      <c r="Q328" t="str">
        <f t="shared" si="28"/>
        <v>Bad</v>
      </c>
      <c r="R328" t="str">
        <f t="shared" si="29"/>
        <v>High</v>
      </c>
    </row>
    <row r="329" spans="1:18" x14ac:dyDescent="0.45">
      <c r="A329">
        <v>328</v>
      </c>
      <c r="B329">
        <v>22</v>
      </c>
      <c r="C329" t="s">
        <v>19</v>
      </c>
      <c r="D329" t="s">
        <v>20</v>
      </c>
      <c r="E329" t="s">
        <v>43</v>
      </c>
      <c r="F329">
        <v>5.6</v>
      </c>
      <c r="G329" t="s">
        <v>143</v>
      </c>
      <c r="H329" t="s">
        <v>17</v>
      </c>
      <c r="I329">
        <v>6.6</v>
      </c>
      <c r="J329">
        <v>6</v>
      </c>
      <c r="K329" t="s">
        <v>24</v>
      </c>
      <c r="L329">
        <v>3</v>
      </c>
      <c r="M329">
        <v>7</v>
      </c>
      <c r="N329" t="str">
        <f t="shared" si="25"/>
        <v>Medium</v>
      </c>
      <c r="O329" t="str">
        <f t="shared" si="26"/>
        <v>High</v>
      </c>
      <c r="P329" t="str">
        <f t="shared" si="27"/>
        <v>Average</v>
      </c>
      <c r="Q329" t="str">
        <f t="shared" si="28"/>
        <v>Bad</v>
      </c>
      <c r="R329" t="str">
        <f t="shared" si="29"/>
        <v>High</v>
      </c>
    </row>
    <row r="330" spans="1:18" x14ac:dyDescent="0.45">
      <c r="A330">
        <v>329</v>
      </c>
      <c r="B330">
        <v>19</v>
      </c>
      <c r="C330" t="s">
        <v>13</v>
      </c>
      <c r="D330" t="s">
        <v>14</v>
      </c>
      <c r="E330" t="s">
        <v>40</v>
      </c>
      <c r="F330">
        <v>4.5</v>
      </c>
      <c r="G330" t="s">
        <v>16</v>
      </c>
      <c r="H330" t="s">
        <v>23</v>
      </c>
      <c r="I330">
        <v>7.5</v>
      </c>
      <c r="J330">
        <v>7</v>
      </c>
      <c r="K330" t="s">
        <v>18</v>
      </c>
      <c r="L330">
        <v>2</v>
      </c>
      <c r="M330">
        <v>5</v>
      </c>
      <c r="N330" t="str">
        <f t="shared" si="25"/>
        <v>Medium</v>
      </c>
      <c r="O330" t="str">
        <f t="shared" si="26"/>
        <v>High</v>
      </c>
      <c r="P330" t="str">
        <f t="shared" si="27"/>
        <v>High</v>
      </c>
      <c r="Q330" t="str">
        <f t="shared" si="28"/>
        <v>Bad</v>
      </c>
      <c r="R330" t="str">
        <f t="shared" si="29"/>
        <v>Medium</v>
      </c>
    </row>
    <row r="331" spans="1:18" x14ac:dyDescent="0.45">
      <c r="A331">
        <v>330</v>
      </c>
      <c r="B331">
        <v>21</v>
      </c>
      <c r="C331" t="s">
        <v>19</v>
      </c>
      <c r="D331" t="s">
        <v>20</v>
      </c>
      <c r="E331" t="s">
        <v>31</v>
      </c>
      <c r="F331">
        <v>5.3</v>
      </c>
      <c r="G331" t="s">
        <v>16</v>
      </c>
      <c r="H331" t="s">
        <v>17</v>
      </c>
      <c r="I331">
        <v>6.9</v>
      </c>
      <c r="J331">
        <v>6</v>
      </c>
      <c r="K331" t="s">
        <v>24</v>
      </c>
      <c r="L331">
        <v>3</v>
      </c>
      <c r="M331">
        <v>7</v>
      </c>
      <c r="N331" t="str">
        <f t="shared" si="25"/>
        <v>Medium</v>
      </c>
      <c r="O331" t="str">
        <f t="shared" si="26"/>
        <v>Average</v>
      </c>
      <c r="P331" t="str">
        <f t="shared" si="27"/>
        <v>Average</v>
      </c>
      <c r="Q331" t="str">
        <f t="shared" si="28"/>
        <v>Bad</v>
      </c>
      <c r="R331" t="str">
        <f t="shared" si="29"/>
        <v>High</v>
      </c>
    </row>
    <row r="332" spans="1:18" x14ac:dyDescent="0.45">
      <c r="A332">
        <v>331</v>
      </c>
      <c r="B332">
        <v>20</v>
      </c>
      <c r="C332" t="s">
        <v>13</v>
      </c>
      <c r="D332" t="s">
        <v>14</v>
      </c>
      <c r="E332" t="s">
        <v>41</v>
      </c>
      <c r="F332">
        <v>5.0999999999999996</v>
      </c>
      <c r="G332" t="s">
        <v>26</v>
      </c>
      <c r="H332" t="s">
        <v>17</v>
      </c>
      <c r="I332">
        <v>6.7</v>
      </c>
      <c r="J332">
        <v>6</v>
      </c>
      <c r="K332" t="s">
        <v>24</v>
      </c>
      <c r="L332">
        <v>3</v>
      </c>
      <c r="M332">
        <v>7</v>
      </c>
      <c r="N332" t="str">
        <f t="shared" si="25"/>
        <v>Medium</v>
      </c>
      <c r="O332" t="str">
        <f t="shared" si="26"/>
        <v>High</v>
      </c>
      <c r="P332" t="str">
        <f t="shared" si="27"/>
        <v>Average</v>
      </c>
      <c r="Q332" t="str">
        <f t="shared" si="28"/>
        <v>Bad</v>
      </c>
      <c r="R332" t="str">
        <f t="shared" si="29"/>
        <v>High</v>
      </c>
    </row>
    <row r="333" spans="1:18" x14ac:dyDescent="0.45">
      <c r="A333">
        <v>332</v>
      </c>
      <c r="B333">
        <v>22</v>
      </c>
      <c r="C333" t="s">
        <v>19</v>
      </c>
      <c r="D333" t="s">
        <v>20</v>
      </c>
      <c r="E333" t="s">
        <v>48</v>
      </c>
      <c r="F333">
        <v>3.9</v>
      </c>
      <c r="G333" t="s">
        <v>32</v>
      </c>
      <c r="H333" t="s">
        <v>23</v>
      </c>
      <c r="I333">
        <v>7.9</v>
      </c>
      <c r="J333">
        <v>8</v>
      </c>
      <c r="K333" t="s">
        <v>18</v>
      </c>
      <c r="L333">
        <v>2</v>
      </c>
      <c r="M333">
        <v>4</v>
      </c>
      <c r="N333" t="str">
        <f t="shared" si="25"/>
        <v>Medium</v>
      </c>
      <c r="O333" t="str">
        <f t="shared" si="26"/>
        <v>Average</v>
      </c>
      <c r="P333" t="str">
        <f t="shared" si="27"/>
        <v>High</v>
      </c>
      <c r="Q333" t="str">
        <f t="shared" si="28"/>
        <v>Good</v>
      </c>
      <c r="R333" t="str">
        <f t="shared" si="29"/>
        <v>Medium</v>
      </c>
    </row>
    <row r="334" spans="1:18" x14ac:dyDescent="0.45">
      <c r="A334">
        <v>333</v>
      </c>
      <c r="B334">
        <v>19</v>
      </c>
      <c r="C334" t="s">
        <v>13</v>
      </c>
      <c r="D334" t="s">
        <v>14</v>
      </c>
      <c r="E334" t="s">
        <v>55</v>
      </c>
      <c r="F334">
        <v>4.8</v>
      </c>
      <c r="G334" t="s">
        <v>16</v>
      </c>
      <c r="H334" t="s">
        <v>17</v>
      </c>
      <c r="I334">
        <v>7.1</v>
      </c>
      <c r="J334">
        <v>7</v>
      </c>
      <c r="K334" t="s">
        <v>24</v>
      </c>
      <c r="L334">
        <v>3</v>
      </c>
      <c r="M334">
        <v>6</v>
      </c>
      <c r="N334" t="str">
        <f t="shared" si="25"/>
        <v>Medium</v>
      </c>
      <c r="O334" t="str">
        <f t="shared" si="26"/>
        <v>Average</v>
      </c>
      <c r="P334" t="str">
        <f t="shared" si="27"/>
        <v>High</v>
      </c>
      <c r="Q334" t="str">
        <f t="shared" si="28"/>
        <v>Bad</v>
      </c>
      <c r="R334" t="str">
        <f t="shared" si="29"/>
        <v>Medium</v>
      </c>
    </row>
    <row r="335" spans="1:18" x14ac:dyDescent="0.45">
      <c r="A335">
        <v>334</v>
      </c>
      <c r="B335">
        <v>21</v>
      </c>
      <c r="C335" t="s">
        <v>19</v>
      </c>
      <c r="D335" t="s">
        <v>20</v>
      </c>
      <c r="E335" t="s">
        <v>21</v>
      </c>
      <c r="F335">
        <v>5.9</v>
      </c>
      <c r="G335" t="s">
        <v>143</v>
      </c>
      <c r="H335" t="s">
        <v>17</v>
      </c>
      <c r="I335">
        <v>6.4</v>
      </c>
      <c r="J335">
        <v>5</v>
      </c>
      <c r="K335" t="s">
        <v>18</v>
      </c>
      <c r="L335">
        <v>4</v>
      </c>
      <c r="M335">
        <v>8</v>
      </c>
      <c r="N335" t="str">
        <f t="shared" si="25"/>
        <v>Medium</v>
      </c>
      <c r="O335" t="str">
        <f t="shared" si="26"/>
        <v>Average</v>
      </c>
      <c r="P335" t="str">
        <f t="shared" si="27"/>
        <v>Average</v>
      </c>
      <c r="Q335" t="str">
        <f t="shared" si="28"/>
        <v>Bad</v>
      </c>
      <c r="R335" t="str">
        <f t="shared" si="29"/>
        <v>High</v>
      </c>
    </row>
    <row r="336" spans="1:18" x14ac:dyDescent="0.45">
      <c r="A336">
        <v>335</v>
      </c>
      <c r="B336">
        <v>20</v>
      </c>
      <c r="C336" t="s">
        <v>13</v>
      </c>
      <c r="D336" t="s">
        <v>14</v>
      </c>
      <c r="E336" t="s">
        <v>51</v>
      </c>
      <c r="F336">
        <v>3.8</v>
      </c>
      <c r="G336" t="s">
        <v>16</v>
      </c>
      <c r="H336" t="s">
        <v>23</v>
      </c>
      <c r="I336">
        <v>8</v>
      </c>
      <c r="J336">
        <v>8</v>
      </c>
      <c r="K336" t="s">
        <v>24</v>
      </c>
      <c r="L336">
        <v>2</v>
      </c>
      <c r="M336">
        <v>4</v>
      </c>
      <c r="N336" t="str">
        <f t="shared" si="25"/>
        <v>Medium</v>
      </c>
      <c r="O336" t="str">
        <f t="shared" si="26"/>
        <v>High</v>
      </c>
      <c r="P336" t="str">
        <f t="shared" si="27"/>
        <v>High</v>
      </c>
      <c r="Q336" t="str">
        <f t="shared" si="28"/>
        <v>Good</v>
      </c>
      <c r="R336" t="str">
        <f t="shared" si="29"/>
        <v>Medium</v>
      </c>
    </row>
    <row r="337" spans="1:18" x14ac:dyDescent="0.45">
      <c r="A337">
        <v>336</v>
      </c>
      <c r="B337">
        <v>22</v>
      </c>
      <c r="C337" t="s">
        <v>19</v>
      </c>
      <c r="D337" t="s">
        <v>20</v>
      </c>
      <c r="E337" t="s">
        <v>65</v>
      </c>
      <c r="F337">
        <v>5.4</v>
      </c>
      <c r="G337" t="s">
        <v>26</v>
      </c>
      <c r="H337" t="s">
        <v>17</v>
      </c>
      <c r="I337">
        <v>6.8</v>
      </c>
      <c r="J337">
        <v>6</v>
      </c>
      <c r="K337" t="s">
        <v>24</v>
      </c>
      <c r="L337">
        <v>3</v>
      </c>
      <c r="M337">
        <v>7</v>
      </c>
      <c r="N337" t="str">
        <f t="shared" si="25"/>
        <v>Medium</v>
      </c>
      <c r="O337" t="str">
        <f t="shared" si="26"/>
        <v>High</v>
      </c>
      <c r="P337" t="str">
        <f t="shared" si="27"/>
        <v>Average</v>
      </c>
      <c r="Q337" t="str">
        <f t="shared" si="28"/>
        <v>Bad</v>
      </c>
      <c r="R337" t="str">
        <f t="shared" si="29"/>
        <v>High</v>
      </c>
    </row>
    <row r="338" spans="1:18" x14ac:dyDescent="0.45">
      <c r="A338">
        <v>337</v>
      </c>
      <c r="B338">
        <v>19</v>
      </c>
      <c r="C338" t="s">
        <v>13</v>
      </c>
      <c r="D338" t="s">
        <v>14</v>
      </c>
      <c r="E338" t="s">
        <v>25</v>
      </c>
      <c r="F338">
        <v>6.9</v>
      </c>
      <c r="G338" t="s">
        <v>16</v>
      </c>
      <c r="H338" t="s">
        <v>17</v>
      </c>
      <c r="I338">
        <v>5.4</v>
      </c>
      <c r="J338">
        <v>5</v>
      </c>
      <c r="K338" t="s">
        <v>18</v>
      </c>
      <c r="L338">
        <v>4</v>
      </c>
      <c r="M338">
        <v>9</v>
      </c>
      <c r="N338" t="str">
        <f t="shared" si="25"/>
        <v>High</v>
      </c>
      <c r="O338" t="str">
        <f t="shared" si="26"/>
        <v>Average</v>
      </c>
      <c r="P338" t="str">
        <f t="shared" si="27"/>
        <v>Average</v>
      </c>
      <c r="Q338" t="str">
        <f t="shared" si="28"/>
        <v>Bad</v>
      </c>
      <c r="R338" t="str">
        <f t="shared" si="29"/>
        <v>High</v>
      </c>
    </row>
    <row r="339" spans="1:18" x14ac:dyDescent="0.45">
      <c r="A339">
        <v>338</v>
      </c>
      <c r="B339">
        <v>21</v>
      </c>
      <c r="C339" t="s">
        <v>19</v>
      </c>
      <c r="D339" t="s">
        <v>20</v>
      </c>
      <c r="E339" t="s">
        <v>43</v>
      </c>
      <c r="F339">
        <v>5.7</v>
      </c>
      <c r="G339" t="s">
        <v>143</v>
      </c>
      <c r="H339" t="s">
        <v>17</v>
      </c>
      <c r="I339">
        <v>6.5</v>
      </c>
      <c r="J339">
        <v>6</v>
      </c>
      <c r="K339" t="s">
        <v>24</v>
      </c>
      <c r="L339">
        <v>3</v>
      </c>
      <c r="M339">
        <v>7</v>
      </c>
      <c r="N339" t="str">
        <f t="shared" si="25"/>
        <v>Medium</v>
      </c>
      <c r="O339" t="str">
        <f t="shared" si="26"/>
        <v>High</v>
      </c>
      <c r="P339" t="str">
        <f t="shared" si="27"/>
        <v>Average</v>
      </c>
      <c r="Q339" t="str">
        <f t="shared" si="28"/>
        <v>Bad</v>
      </c>
      <c r="R339" t="str">
        <f t="shared" si="29"/>
        <v>High</v>
      </c>
    </row>
    <row r="340" spans="1:18" x14ac:dyDescent="0.45">
      <c r="A340">
        <v>339</v>
      </c>
      <c r="B340">
        <v>20</v>
      </c>
      <c r="C340" t="s">
        <v>13</v>
      </c>
      <c r="D340" t="s">
        <v>14</v>
      </c>
      <c r="E340" t="s">
        <v>40</v>
      </c>
      <c r="F340">
        <v>4.4000000000000004</v>
      </c>
      <c r="G340" t="s">
        <v>16</v>
      </c>
      <c r="H340" t="s">
        <v>23</v>
      </c>
      <c r="I340">
        <v>7.6</v>
      </c>
      <c r="J340">
        <v>7</v>
      </c>
      <c r="K340" t="s">
        <v>18</v>
      </c>
      <c r="L340">
        <v>2</v>
      </c>
      <c r="M340">
        <v>5</v>
      </c>
      <c r="N340" t="str">
        <f t="shared" si="25"/>
        <v>Medium</v>
      </c>
      <c r="O340" t="str">
        <f t="shared" si="26"/>
        <v>High</v>
      </c>
      <c r="P340" t="str">
        <f t="shared" si="27"/>
        <v>High</v>
      </c>
      <c r="Q340" t="str">
        <f t="shared" si="28"/>
        <v>Bad</v>
      </c>
      <c r="R340" t="str">
        <f t="shared" si="29"/>
        <v>Medium</v>
      </c>
    </row>
    <row r="341" spans="1:18" x14ac:dyDescent="0.45">
      <c r="A341">
        <v>340</v>
      </c>
      <c r="B341">
        <v>22</v>
      </c>
      <c r="C341" t="s">
        <v>19</v>
      </c>
      <c r="D341" t="s">
        <v>20</v>
      </c>
      <c r="E341" t="s">
        <v>31</v>
      </c>
      <c r="F341">
        <v>5.2</v>
      </c>
      <c r="G341" t="s">
        <v>26</v>
      </c>
      <c r="H341" t="s">
        <v>17</v>
      </c>
      <c r="I341">
        <v>7</v>
      </c>
      <c r="J341">
        <v>6</v>
      </c>
      <c r="K341" t="s">
        <v>24</v>
      </c>
      <c r="L341">
        <v>3</v>
      </c>
      <c r="M341">
        <v>7</v>
      </c>
      <c r="N341" t="str">
        <f t="shared" si="25"/>
        <v>Medium</v>
      </c>
      <c r="O341" t="str">
        <f t="shared" si="26"/>
        <v>Average</v>
      </c>
      <c r="P341" t="str">
        <f t="shared" si="27"/>
        <v>Average</v>
      </c>
      <c r="Q341" t="str">
        <f t="shared" si="28"/>
        <v>Bad</v>
      </c>
      <c r="R341" t="str">
        <f t="shared" si="29"/>
        <v>High</v>
      </c>
    </row>
    <row r="342" spans="1:18" x14ac:dyDescent="0.45">
      <c r="A342">
        <v>341</v>
      </c>
      <c r="B342">
        <v>19</v>
      </c>
      <c r="C342" t="s">
        <v>13</v>
      </c>
      <c r="D342" t="s">
        <v>14</v>
      </c>
      <c r="E342" t="s">
        <v>41</v>
      </c>
      <c r="F342">
        <v>5</v>
      </c>
      <c r="G342" t="s">
        <v>16</v>
      </c>
      <c r="H342" t="s">
        <v>17</v>
      </c>
      <c r="I342">
        <v>6.9</v>
      </c>
      <c r="J342">
        <v>6</v>
      </c>
      <c r="K342" t="s">
        <v>24</v>
      </c>
      <c r="L342">
        <v>3</v>
      </c>
      <c r="M342">
        <v>7</v>
      </c>
      <c r="N342" t="str">
        <f t="shared" si="25"/>
        <v>Medium</v>
      </c>
      <c r="O342" t="str">
        <f t="shared" si="26"/>
        <v>High</v>
      </c>
      <c r="P342" t="str">
        <f t="shared" si="27"/>
        <v>Average</v>
      </c>
      <c r="Q342" t="str">
        <f t="shared" si="28"/>
        <v>Bad</v>
      </c>
      <c r="R342" t="str">
        <f t="shared" si="29"/>
        <v>High</v>
      </c>
    </row>
    <row r="343" spans="1:18" x14ac:dyDescent="0.45">
      <c r="A343">
        <v>342</v>
      </c>
      <c r="B343">
        <v>21</v>
      </c>
      <c r="C343" t="s">
        <v>19</v>
      </c>
      <c r="D343" t="s">
        <v>20</v>
      </c>
      <c r="E343" t="s">
        <v>48</v>
      </c>
      <c r="F343">
        <v>3.8</v>
      </c>
      <c r="G343" t="s">
        <v>32</v>
      </c>
      <c r="H343" t="s">
        <v>23</v>
      </c>
      <c r="I343">
        <v>8</v>
      </c>
      <c r="J343">
        <v>8</v>
      </c>
      <c r="K343" t="s">
        <v>18</v>
      </c>
      <c r="L343">
        <v>2</v>
      </c>
      <c r="M343">
        <v>4</v>
      </c>
      <c r="N343" t="str">
        <f t="shared" si="25"/>
        <v>Medium</v>
      </c>
      <c r="O343" t="str">
        <f t="shared" si="26"/>
        <v>Average</v>
      </c>
      <c r="P343" t="str">
        <f t="shared" si="27"/>
        <v>High</v>
      </c>
      <c r="Q343" t="str">
        <f t="shared" si="28"/>
        <v>Good</v>
      </c>
      <c r="R343" t="str">
        <f t="shared" si="29"/>
        <v>Medium</v>
      </c>
    </row>
    <row r="344" spans="1:18" x14ac:dyDescent="0.45">
      <c r="A344">
        <v>343</v>
      </c>
      <c r="B344">
        <v>20</v>
      </c>
      <c r="C344" t="s">
        <v>13</v>
      </c>
      <c r="D344" t="s">
        <v>14</v>
      </c>
      <c r="E344" t="s">
        <v>55</v>
      </c>
      <c r="F344">
        <v>4.7</v>
      </c>
      <c r="G344" t="s">
        <v>26</v>
      </c>
      <c r="H344" t="s">
        <v>17</v>
      </c>
      <c r="I344">
        <v>7.2</v>
      </c>
      <c r="J344">
        <v>7</v>
      </c>
      <c r="K344" t="s">
        <v>24</v>
      </c>
      <c r="L344">
        <v>3</v>
      </c>
      <c r="M344">
        <v>6</v>
      </c>
      <c r="N344" t="str">
        <f t="shared" si="25"/>
        <v>Medium</v>
      </c>
      <c r="O344" t="str">
        <f t="shared" si="26"/>
        <v>Average</v>
      </c>
      <c r="P344" t="str">
        <f t="shared" si="27"/>
        <v>High</v>
      </c>
      <c r="Q344" t="str">
        <f t="shared" si="28"/>
        <v>Bad</v>
      </c>
      <c r="R344" t="str">
        <f t="shared" si="29"/>
        <v>Medium</v>
      </c>
    </row>
    <row r="345" spans="1:18" x14ac:dyDescent="0.45">
      <c r="A345">
        <v>344</v>
      </c>
      <c r="B345">
        <v>22</v>
      </c>
      <c r="C345" t="s">
        <v>19</v>
      </c>
      <c r="D345" t="s">
        <v>20</v>
      </c>
      <c r="E345" t="s">
        <v>21</v>
      </c>
      <c r="F345">
        <v>6</v>
      </c>
      <c r="G345" t="s">
        <v>143</v>
      </c>
      <c r="H345" t="s">
        <v>17</v>
      </c>
      <c r="I345">
        <v>6.3</v>
      </c>
      <c r="J345">
        <v>5</v>
      </c>
      <c r="K345" t="s">
        <v>18</v>
      </c>
      <c r="L345">
        <v>4</v>
      </c>
      <c r="M345">
        <v>8</v>
      </c>
      <c r="N345" t="str">
        <f t="shared" si="25"/>
        <v>Medium</v>
      </c>
      <c r="O345" t="str">
        <f t="shared" si="26"/>
        <v>Average</v>
      </c>
      <c r="P345" t="str">
        <f t="shared" si="27"/>
        <v>Average</v>
      </c>
      <c r="Q345" t="str">
        <f t="shared" si="28"/>
        <v>Bad</v>
      </c>
      <c r="R345" t="str">
        <f t="shared" si="29"/>
        <v>High</v>
      </c>
    </row>
    <row r="346" spans="1:18" x14ac:dyDescent="0.45">
      <c r="A346">
        <v>345</v>
      </c>
      <c r="B346">
        <v>19</v>
      </c>
      <c r="C346" t="s">
        <v>13</v>
      </c>
      <c r="D346" t="s">
        <v>14</v>
      </c>
      <c r="E346" t="s">
        <v>51</v>
      </c>
      <c r="F346">
        <v>3.7</v>
      </c>
      <c r="G346" t="s">
        <v>16</v>
      </c>
      <c r="H346" t="s">
        <v>23</v>
      </c>
      <c r="I346">
        <v>8.1</v>
      </c>
      <c r="J346">
        <v>8</v>
      </c>
      <c r="K346" t="s">
        <v>24</v>
      </c>
      <c r="L346">
        <v>2</v>
      </c>
      <c r="M346">
        <v>4</v>
      </c>
      <c r="N346" t="str">
        <f t="shared" si="25"/>
        <v>Medium</v>
      </c>
      <c r="O346" t="str">
        <f t="shared" si="26"/>
        <v>High</v>
      </c>
      <c r="P346" t="str">
        <f t="shared" si="27"/>
        <v>High</v>
      </c>
      <c r="Q346" t="str">
        <f t="shared" si="28"/>
        <v>Good</v>
      </c>
      <c r="R346" t="str">
        <f t="shared" si="29"/>
        <v>Medium</v>
      </c>
    </row>
    <row r="347" spans="1:18" x14ac:dyDescent="0.45">
      <c r="A347">
        <v>346</v>
      </c>
      <c r="B347">
        <v>21</v>
      </c>
      <c r="C347" t="s">
        <v>19</v>
      </c>
      <c r="D347" t="s">
        <v>20</v>
      </c>
      <c r="E347" t="s">
        <v>65</v>
      </c>
      <c r="F347">
        <v>5.3</v>
      </c>
      <c r="G347" t="s">
        <v>16</v>
      </c>
      <c r="H347" t="s">
        <v>17</v>
      </c>
      <c r="I347">
        <v>6.9</v>
      </c>
      <c r="J347">
        <v>6</v>
      </c>
      <c r="K347" t="s">
        <v>24</v>
      </c>
      <c r="L347">
        <v>3</v>
      </c>
      <c r="M347">
        <v>7</v>
      </c>
      <c r="N347" t="str">
        <f t="shared" si="25"/>
        <v>Medium</v>
      </c>
      <c r="O347" t="str">
        <f t="shared" si="26"/>
        <v>High</v>
      </c>
      <c r="P347" t="str">
        <f t="shared" si="27"/>
        <v>Average</v>
      </c>
      <c r="Q347" t="str">
        <f t="shared" si="28"/>
        <v>Bad</v>
      </c>
      <c r="R347" t="str">
        <f t="shared" si="29"/>
        <v>High</v>
      </c>
    </row>
    <row r="348" spans="1:18" x14ac:dyDescent="0.45">
      <c r="A348">
        <v>347</v>
      </c>
      <c r="B348">
        <v>20</v>
      </c>
      <c r="C348" t="s">
        <v>13</v>
      </c>
      <c r="D348" t="s">
        <v>14</v>
      </c>
      <c r="E348" t="s">
        <v>25</v>
      </c>
      <c r="F348">
        <v>7</v>
      </c>
      <c r="G348" t="s">
        <v>26</v>
      </c>
      <c r="H348" t="s">
        <v>17</v>
      </c>
      <c r="I348">
        <v>5.3</v>
      </c>
      <c r="J348">
        <v>5</v>
      </c>
      <c r="K348" t="s">
        <v>18</v>
      </c>
      <c r="L348">
        <v>4</v>
      </c>
      <c r="M348">
        <v>9</v>
      </c>
      <c r="N348" t="str">
        <f t="shared" si="25"/>
        <v>High</v>
      </c>
      <c r="O348" t="str">
        <f t="shared" si="26"/>
        <v>High</v>
      </c>
      <c r="P348" t="str">
        <f t="shared" si="27"/>
        <v>Average</v>
      </c>
      <c r="Q348" t="str">
        <f t="shared" si="28"/>
        <v>Bad</v>
      </c>
      <c r="R348" t="str">
        <f t="shared" si="29"/>
        <v>High</v>
      </c>
    </row>
    <row r="349" spans="1:18" x14ac:dyDescent="0.45">
      <c r="A349">
        <v>348</v>
      </c>
      <c r="B349">
        <v>22</v>
      </c>
      <c r="C349" t="s">
        <v>19</v>
      </c>
      <c r="D349" t="s">
        <v>20</v>
      </c>
      <c r="E349" t="s">
        <v>43</v>
      </c>
      <c r="F349">
        <v>5.8</v>
      </c>
      <c r="G349" t="s">
        <v>143</v>
      </c>
      <c r="H349" t="s">
        <v>17</v>
      </c>
      <c r="I349">
        <v>6.4</v>
      </c>
      <c r="J349">
        <v>6</v>
      </c>
      <c r="K349" t="s">
        <v>24</v>
      </c>
      <c r="L349">
        <v>3</v>
      </c>
      <c r="M349">
        <v>7</v>
      </c>
      <c r="N349" t="str">
        <f t="shared" si="25"/>
        <v>Medium</v>
      </c>
      <c r="O349" t="str">
        <f t="shared" si="26"/>
        <v>High</v>
      </c>
      <c r="P349" t="str">
        <f t="shared" si="27"/>
        <v>Average</v>
      </c>
      <c r="Q349" t="str">
        <f t="shared" si="28"/>
        <v>Bad</v>
      </c>
      <c r="R349" t="str">
        <f t="shared" si="29"/>
        <v>High</v>
      </c>
    </row>
    <row r="350" spans="1:18" x14ac:dyDescent="0.45">
      <c r="A350">
        <v>349</v>
      </c>
      <c r="B350">
        <v>19</v>
      </c>
      <c r="C350" t="s">
        <v>13</v>
      </c>
      <c r="D350" t="s">
        <v>14</v>
      </c>
      <c r="E350" t="s">
        <v>40</v>
      </c>
      <c r="F350">
        <v>4.3</v>
      </c>
      <c r="G350" t="s">
        <v>16</v>
      </c>
      <c r="H350" t="s">
        <v>23</v>
      </c>
      <c r="I350">
        <v>7.7</v>
      </c>
      <c r="J350">
        <v>7</v>
      </c>
      <c r="K350" t="s">
        <v>18</v>
      </c>
      <c r="L350">
        <v>2</v>
      </c>
      <c r="M350">
        <v>5</v>
      </c>
      <c r="N350" t="str">
        <f t="shared" si="25"/>
        <v>Medium</v>
      </c>
      <c r="O350" t="str">
        <f t="shared" si="26"/>
        <v>High</v>
      </c>
      <c r="P350" t="str">
        <f t="shared" si="27"/>
        <v>High</v>
      </c>
      <c r="Q350" t="str">
        <f t="shared" si="28"/>
        <v>Bad</v>
      </c>
      <c r="R350" t="str">
        <f t="shared" si="29"/>
        <v>Medium</v>
      </c>
    </row>
    <row r="351" spans="1:18" x14ac:dyDescent="0.45">
      <c r="A351">
        <v>350</v>
      </c>
      <c r="B351">
        <v>21</v>
      </c>
      <c r="C351" t="s">
        <v>19</v>
      </c>
      <c r="D351" t="s">
        <v>20</v>
      </c>
      <c r="E351" t="s">
        <v>31</v>
      </c>
      <c r="F351">
        <v>5.0999999999999996</v>
      </c>
      <c r="G351" t="s">
        <v>16</v>
      </c>
      <c r="H351" t="s">
        <v>17</v>
      </c>
      <c r="I351">
        <v>7.1</v>
      </c>
      <c r="J351">
        <v>6</v>
      </c>
      <c r="K351" t="s">
        <v>24</v>
      </c>
      <c r="L351">
        <v>3</v>
      </c>
      <c r="M351">
        <v>7</v>
      </c>
      <c r="N351" t="str">
        <f t="shared" si="25"/>
        <v>Medium</v>
      </c>
      <c r="O351" t="str">
        <f t="shared" si="26"/>
        <v>Average</v>
      </c>
      <c r="P351" t="str">
        <f t="shared" si="27"/>
        <v>High</v>
      </c>
      <c r="Q351" t="str">
        <f t="shared" si="28"/>
        <v>Bad</v>
      </c>
      <c r="R351" t="str">
        <f t="shared" si="29"/>
        <v>High</v>
      </c>
    </row>
    <row r="352" spans="1:18" x14ac:dyDescent="0.45">
      <c r="A352">
        <v>351</v>
      </c>
      <c r="B352">
        <v>20</v>
      </c>
      <c r="C352" t="s">
        <v>13</v>
      </c>
      <c r="D352" t="s">
        <v>14</v>
      </c>
      <c r="E352" t="s">
        <v>41</v>
      </c>
      <c r="F352">
        <v>4.9000000000000004</v>
      </c>
      <c r="G352" t="s">
        <v>26</v>
      </c>
      <c r="H352" t="s">
        <v>17</v>
      </c>
      <c r="I352">
        <v>7</v>
      </c>
      <c r="J352">
        <v>6</v>
      </c>
      <c r="K352" t="s">
        <v>24</v>
      </c>
      <c r="L352">
        <v>3</v>
      </c>
      <c r="M352">
        <v>7</v>
      </c>
      <c r="N352" t="str">
        <f t="shared" si="25"/>
        <v>Medium</v>
      </c>
      <c r="O352" t="str">
        <f t="shared" si="26"/>
        <v>High</v>
      </c>
      <c r="P352" t="str">
        <f t="shared" si="27"/>
        <v>Average</v>
      </c>
      <c r="Q352" t="str">
        <f t="shared" si="28"/>
        <v>Bad</v>
      </c>
      <c r="R352" t="str">
        <f t="shared" si="29"/>
        <v>High</v>
      </c>
    </row>
    <row r="353" spans="1:18" x14ac:dyDescent="0.45">
      <c r="A353">
        <v>352</v>
      </c>
      <c r="B353">
        <v>22</v>
      </c>
      <c r="C353" t="s">
        <v>19</v>
      </c>
      <c r="D353" t="s">
        <v>20</v>
      </c>
      <c r="E353" t="s">
        <v>48</v>
      </c>
      <c r="F353">
        <v>3.7</v>
      </c>
      <c r="G353" t="s">
        <v>32</v>
      </c>
      <c r="H353" t="s">
        <v>23</v>
      </c>
      <c r="I353">
        <v>8.1</v>
      </c>
      <c r="J353">
        <v>8</v>
      </c>
      <c r="K353" t="s">
        <v>18</v>
      </c>
      <c r="L353">
        <v>2</v>
      </c>
      <c r="M353">
        <v>4</v>
      </c>
      <c r="N353" t="str">
        <f t="shared" si="25"/>
        <v>Medium</v>
      </c>
      <c r="O353" t="str">
        <f t="shared" si="26"/>
        <v>High</v>
      </c>
      <c r="P353" t="str">
        <f t="shared" si="27"/>
        <v>High</v>
      </c>
      <c r="Q353" t="str">
        <f t="shared" si="28"/>
        <v>Good</v>
      </c>
      <c r="R353" t="str">
        <f t="shared" si="29"/>
        <v>Medium</v>
      </c>
    </row>
    <row r="354" spans="1:18" x14ac:dyDescent="0.45">
      <c r="A354">
        <v>353</v>
      </c>
      <c r="B354">
        <v>19</v>
      </c>
      <c r="C354" t="s">
        <v>13</v>
      </c>
      <c r="D354" t="s">
        <v>14</v>
      </c>
      <c r="E354" t="s">
        <v>55</v>
      </c>
      <c r="F354">
        <v>4.5999999999999996</v>
      </c>
      <c r="G354" t="s">
        <v>16</v>
      </c>
      <c r="H354" t="s">
        <v>17</v>
      </c>
      <c r="I354">
        <v>7.3</v>
      </c>
      <c r="J354">
        <v>7</v>
      </c>
      <c r="K354" t="s">
        <v>24</v>
      </c>
      <c r="L354">
        <v>3</v>
      </c>
      <c r="M354">
        <v>6</v>
      </c>
      <c r="N354" t="str">
        <f t="shared" si="25"/>
        <v>Medium</v>
      </c>
      <c r="O354" t="str">
        <f t="shared" si="26"/>
        <v>Average</v>
      </c>
      <c r="P354" t="str">
        <f t="shared" si="27"/>
        <v>High</v>
      </c>
      <c r="Q354" t="str">
        <f t="shared" si="28"/>
        <v>Bad</v>
      </c>
      <c r="R354" t="str">
        <f t="shared" si="29"/>
        <v>Medium</v>
      </c>
    </row>
    <row r="355" spans="1:18" x14ac:dyDescent="0.45">
      <c r="A355">
        <v>354</v>
      </c>
      <c r="B355">
        <v>21</v>
      </c>
      <c r="C355" t="s">
        <v>19</v>
      </c>
      <c r="D355" t="s">
        <v>20</v>
      </c>
      <c r="E355" t="s">
        <v>21</v>
      </c>
      <c r="F355">
        <v>6.1</v>
      </c>
      <c r="G355" t="s">
        <v>143</v>
      </c>
      <c r="H355" t="s">
        <v>17</v>
      </c>
      <c r="I355">
        <v>6.2</v>
      </c>
      <c r="J355">
        <v>5</v>
      </c>
      <c r="K355" t="s">
        <v>18</v>
      </c>
      <c r="L355">
        <v>4</v>
      </c>
      <c r="M355">
        <v>8</v>
      </c>
      <c r="N355" t="str">
        <f t="shared" si="25"/>
        <v>Medium</v>
      </c>
      <c r="O355" t="str">
        <f t="shared" si="26"/>
        <v>Average</v>
      </c>
      <c r="P355" t="str">
        <f t="shared" si="27"/>
        <v>Average</v>
      </c>
      <c r="Q355" t="str">
        <f t="shared" si="28"/>
        <v>Bad</v>
      </c>
      <c r="R355" t="str">
        <f t="shared" si="29"/>
        <v>High</v>
      </c>
    </row>
    <row r="356" spans="1:18" x14ac:dyDescent="0.45">
      <c r="A356">
        <v>355</v>
      </c>
      <c r="B356">
        <v>20</v>
      </c>
      <c r="C356" t="s">
        <v>13</v>
      </c>
      <c r="D356" t="s">
        <v>14</v>
      </c>
      <c r="E356" t="s">
        <v>51</v>
      </c>
      <c r="F356">
        <v>3.6</v>
      </c>
      <c r="G356" t="s">
        <v>16</v>
      </c>
      <c r="H356" t="s">
        <v>23</v>
      </c>
      <c r="I356">
        <v>8.1999999999999993</v>
      </c>
      <c r="J356">
        <v>8</v>
      </c>
      <c r="K356" t="s">
        <v>24</v>
      </c>
      <c r="L356">
        <v>2</v>
      </c>
      <c r="M356">
        <v>4</v>
      </c>
      <c r="N356" t="str">
        <f t="shared" si="25"/>
        <v>Medium</v>
      </c>
      <c r="O356" t="str">
        <f t="shared" si="26"/>
        <v>High</v>
      </c>
      <c r="P356" t="str">
        <f t="shared" si="27"/>
        <v>High</v>
      </c>
      <c r="Q356" t="str">
        <f t="shared" si="28"/>
        <v>Good</v>
      </c>
      <c r="R356" t="str">
        <f t="shared" si="29"/>
        <v>Medium</v>
      </c>
    </row>
    <row r="357" spans="1:18" x14ac:dyDescent="0.45">
      <c r="A357">
        <v>356</v>
      </c>
      <c r="B357">
        <v>22</v>
      </c>
      <c r="C357" t="s">
        <v>19</v>
      </c>
      <c r="D357" t="s">
        <v>20</v>
      </c>
      <c r="E357" t="s">
        <v>65</v>
      </c>
      <c r="F357">
        <v>5.2</v>
      </c>
      <c r="G357" t="s">
        <v>26</v>
      </c>
      <c r="H357" t="s">
        <v>17</v>
      </c>
      <c r="I357">
        <v>7</v>
      </c>
      <c r="J357">
        <v>6</v>
      </c>
      <c r="K357" t="s">
        <v>24</v>
      </c>
      <c r="L357">
        <v>3</v>
      </c>
      <c r="M357">
        <v>7</v>
      </c>
      <c r="N357" t="str">
        <f t="shared" si="25"/>
        <v>Medium</v>
      </c>
      <c r="O357" t="str">
        <f t="shared" si="26"/>
        <v>High</v>
      </c>
      <c r="P357" t="str">
        <f t="shared" si="27"/>
        <v>Average</v>
      </c>
      <c r="Q357" t="str">
        <f t="shared" si="28"/>
        <v>Bad</v>
      </c>
      <c r="R357" t="str">
        <f t="shared" si="29"/>
        <v>High</v>
      </c>
    </row>
    <row r="358" spans="1:18" x14ac:dyDescent="0.45">
      <c r="A358">
        <v>357</v>
      </c>
      <c r="B358">
        <v>19</v>
      </c>
      <c r="C358" t="s">
        <v>13</v>
      </c>
      <c r="D358" t="s">
        <v>14</v>
      </c>
      <c r="E358" t="s">
        <v>25</v>
      </c>
      <c r="F358">
        <v>7.1</v>
      </c>
      <c r="G358" t="s">
        <v>16</v>
      </c>
      <c r="H358" t="s">
        <v>17</v>
      </c>
      <c r="I358">
        <v>5.2</v>
      </c>
      <c r="J358">
        <v>5</v>
      </c>
      <c r="K358" t="s">
        <v>18</v>
      </c>
      <c r="L358">
        <v>4</v>
      </c>
      <c r="M358">
        <v>9</v>
      </c>
      <c r="N358" t="str">
        <f t="shared" si="25"/>
        <v>High</v>
      </c>
      <c r="O358" t="str">
        <f t="shared" si="26"/>
        <v>High</v>
      </c>
      <c r="P358" t="str">
        <f t="shared" si="27"/>
        <v>Average</v>
      </c>
      <c r="Q358" t="str">
        <f t="shared" si="28"/>
        <v>Bad</v>
      </c>
      <c r="R358" t="str">
        <f t="shared" si="29"/>
        <v>High</v>
      </c>
    </row>
    <row r="359" spans="1:18" x14ac:dyDescent="0.45">
      <c r="A359">
        <v>358</v>
      </c>
      <c r="B359">
        <v>21</v>
      </c>
      <c r="C359" t="s">
        <v>19</v>
      </c>
      <c r="D359" t="s">
        <v>20</v>
      </c>
      <c r="E359" t="s">
        <v>43</v>
      </c>
      <c r="F359">
        <v>5.9</v>
      </c>
      <c r="G359" t="s">
        <v>143</v>
      </c>
      <c r="H359" t="s">
        <v>17</v>
      </c>
      <c r="I359">
        <v>6.3</v>
      </c>
      <c r="J359">
        <v>6</v>
      </c>
      <c r="K359" t="s">
        <v>24</v>
      </c>
      <c r="L359">
        <v>3</v>
      </c>
      <c r="M359">
        <v>7</v>
      </c>
      <c r="N359" t="str">
        <f t="shared" si="25"/>
        <v>Medium</v>
      </c>
      <c r="O359" t="str">
        <f t="shared" si="26"/>
        <v>High</v>
      </c>
      <c r="P359" t="str">
        <f t="shared" si="27"/>
        <v>Average</v>
      </c>
      <c r="Q359" t="str">
        <f t="shared" si="28"/>
        <v>Bad</v>
      </c>
      <c r="R359" t="str">
        <f t="shared" si="29"/>
        <v>High</v>
      </c>
    </row>
    <row r="360" spans="1:18" x14ac:dyDescent="0.45">
      <c r="A360">
        <v>359</v>
      </c>
      <c r="B360">
        <v>20</v>
      </c>
      <c r="C360" t="s">
        <v>13</v>
      </c>
      <c r="D360" t="s">
        <v>14</v>
      </c>
      <c r="E360" t="s">
        <v>40</v>
      </c>
      <c r="F360">
        <v>4.2</v>
      </c>
      <c r="G360" t="s">
        <v>16</v>
      </c>
      <c r="H360" t="s">
        <v>23</v>
      </c>
      <c r="I360">
        <v>7.8</v>
      </c>
      <c r="J360">
        <v>7</v>
      </c>
      <c r="K360" t="s">
        <v>18</v>
      </c>
      <c r="L360">
        <v>2</v>
      </c>
      <c r="M360">
        <v>5</v>
      </c>
      <c r="N360" t="str">
        <f t="shared" si="25"/>
        <v>Medium</v>
      </c>
      <c r="O360" t="str">
        <f t="shared" si="26"/>
        <v>High</v>
      </c>
      <c r="P360" t="str">
        <f t="shared" si="27"/>
        <v>High</v>
      </c>
      <c r="Q360" t="str">
        <f t="shared" si="28"/>
        <v>Bad</v>
      </c>
      <c r="R360" t="str">
        <f t="shared" si="29"/>
        <v>Medium</v>
      </c>
    </row>
    <row r="361" spans="1:18" x14ac:dyDescent="0.45">
      <c r="A361">
        <v>360</v>
      </c>
      <c r="B361">
        <v>22</v>
      </c>
      <c r="C361" t="s">
        <v>19</v>
      </c>
      <c r="D361" t="s">
        <v>20</v>
      </c>
      <c r="E361" t="s">
        <v>31</v>
      </c>
      <c r="F361">
        <v>5</v>
      </c>
      <c r="G361" t="s">
        <v>26</v>
      </c>
      <c r="H361" t="s">
        <v>17</v>
      </c>
      <c r="I361">
        <v>7.2</v>
      </c>
      <c r="J361">
        <v>6</v>
      </c>
      <c r="K361" t="s">
        <v>24</v>
      </c>
      <c r="L361">
        <v>3</v>
      </c>
      <c r="M361">
        <v>7</v>
      </c>
      <c r="N361" t="str">
        <f t="shared" si="25"/>
        <v>Medium</v>
      </c>
      <c r="O361" t="str">
        <f t="shared" si="26"/>
        <v>Average</v>
      </c>
      <c r="P361" t="str">
        <f t="shared" si="27"/>
        <v>High</v>
      </c>
      <c r="Q361" t="str">
        <f t="shared" si="28"/>
        <v>Bad</v>
      </c>
      <c r="R361" t="str">
        <f t="shared" si="29"/>
        <v>High</v>
      </c>
    </row>
    <row r="362" spans="1:18" x14ac:dyDescent="0.45">
      <c r="A362">
        <v>361</v>
      </c>
      <c r="B362">
        <v>19</v>
      </c>
      <c r="C362" t="s">
        <v>13</v>
      </c>
      <c r="D362" t="s">
        <v>14</v>
      </c>
      <c r="E362" t="s">
        <v>41</v>
      </c>
      <c r="F362">
        <v>4.8</v>
      </c>
      <c r="G362" t="s">
        <v>16</v>
      </c>
      <c r="H362" t="s">
        <v>17</v>
      </c>
      <c r="I362">
        <v>7.1</v>
      </c>
      <c r="J362">
        <v>6</v>
      </c>
      <c r="K362" t="s">
        <v>24</v>
      </c>
      <c r="L362">
        <v>3</v>
      </c>
      <c r="M362">
        <v>7</v>
      </c>
      <c r="N362" t="str">
        <f t="shared" si="25"/>
        <v>Medium</v>
      </c>
      <c r="O362" t="str">
        <f t="shared" si="26"/>
        <v>High</v>
      </c>
      <c r="P362" t="str">
        <f t="shared" si="27"/>
        <v>High</v>
      </c>
      <c r="Q362" t="str">
        <f t="shared" si="28"/>
        <v>Bad</v>
      </c>
      <c r="R362" t="str">
        <f t="shared" si="29"/>
        <v>High</v>
      </c>
    </row>
    <row r="363" spans="1:18" x14ac:dyDescent="0.45">
      <c r="A363">
        <v>362</v>
      </c>
      <c r="B363">
        <v>21</v>
      </c>
      <c r="C363" t="s">
        <v>19</v>
      </c>
      <c r="D363" t="s">
        <v>20</v>
      </c>
      <c r="E363" t="s">
        <v>48</v>
      </c>
      <c r="F363">
        <v>3.6</v>
      </c>
      <c r="G363" t="s">
        <v>32</v>
      </c>
      <c r="H363" t="s">
        <v>23</v>
      </c>
      <c r="I363">
        <v>8.1999999999999993</v>
      </c>
      <c r="J363">
        <v>8</v>
      </c>
      <c r="K363" t="s">
        <v>18</v>
      </c>
      <c r="L363">
        <v>2</v>
      </c>
      <c r="M363">
        <v>4</v>
      </c>
      <c r="N363" t="str">
        <f t="shared" si="25"/>
        <v>Medium</v>
      </c>
      <c r="O363" t="str">
        <f t="shared" si="26"/>
        <v>High</v>
      </c>
      <c r="P363" t="str">
        <f t="shared" si="27"/>
        <v>High</v>
      </c>
      <c r="Q363" t="str">
        <f t="shared" si="28"/>
        <v>Good</v>
      </c>
      <c r="R363" t="str">
        <f t="shared" si="29"/>
        <v>Medium</v>
      </c>
    </row>
    <row r="364" spans="1:18" x14ac:dyDescent="0.45">
      <c r="A364">
        <v>363</v>
      </c>
      <c r="B364">
        <v>20</v>
      </c>
      <c r="C364" t="s">
        <v>13</v>
      </c>
      <c r="D364" t="s">
        <v>14</v>
      </c>
      <c r="E364" t="s">
        <v>55</v>
      </c>
      <c r="F364">
        <v>4.5</v>
      </c>
      <c r="G364" t="s">
        <v>26</v>
      </c>
      <c r="H364" t="s">
        <v>17</v>
      </c>
      <c r="I364">
        <v>7.4</v>
      </c>
      <c r="J364">
        <v>7</v>
      </c>
      <c r="K364" t="s">
        <v>24</v>
      </c>
      <c r="L364">
        <v>3</v>
      </c>
      <c r="M364">
        <v>6</v>
      </c>
      <c r="N364" t="str">
        <f t="shared" si="25"/>
        <v>Medium</v>
      </c>
      <c r="O364" t="str">
        <f t="shared" si="26"/>
        <v>Less</v>
      </c>
      <c r="P364" t="str">
        <f t="shared" si="27"/>
        <v>High</v>
      </c>
      <c r="Q364" t="str">
        <f t="shared" si="28"/>
        <v>Bad</v>
      </c>
      <c r="R364" t="str">
        <f t="shared" si="29"/>
        <v>Medium</v>
      </c>
    </row>
    <row r="365" spans="1:18" x14ac:dyDescent="0.45">
      <c r="A365">
        <v>364</v>
      </c>
      <c r="B365">
        <v>22</v>
      </c>
      <c r="C365" t="s">
        <v>19</v>
      </c>
      <c r="D365" t="s">
        <v>20</v>
      </c>
      <c r="E365" t="s">
        <v>21</v>
      </c>
      <c r="F365">
        <v>6.2</v>
      </c>
      <c r="G365" t="s">
        <v>143</v>
      </c>
      <c r="H365" t="s">
        <v>17</v>
      </c>
      <c r="I365">
        <v>6.1</v>
      </c>
      <c r="J365">
        <v>5</v>
      </c>
      <c r="K365" t="s">
        <v>18</v>
      </c>
      <c r="L365">
        <v>4</v>
      </c>
      <c r="M365">
        <v>8</v>
      </c>
      <c r="N365" t="str">
        <f t="shared" si="25"/>
        <v>Medium</v>
      </c>
      <c r="O365" t="str">
        <f t="shared" si="26"/>
        <v>Average</v>
      </c>
      <c r="P365" t="str">
        <f t="shared" si="27"/>
        <v>Average</v>
      </c>
      <c r="Q365" t="str">
        <f t="shared" si="28"/>
        <v>Bad</v>
      </c>
      <c r="R365" t="str">
        <f t="shared" si="29"/>
        <v>High</v>
      </c>
    </row>
    <row r="366" spans="1:18" x14ac:dyDescent="0.45">
      <c r="A366">
        <v>365</v>
      </c>
      <c r="B366">
        <v>19</v>
      </c>
      <c r="C366" t="s">
        <v>13</v>
      </c>
      <c r="D366" t="s">
        <v>14</v>
      </c>
      <c r="E366" t="s">
        <v>51</v>
      </c>
      <c r="F366">
        <v>3.5</v>
      </c>
      <c r="G366" t="s">
        <v>16</v>
      </c>
      <c r="H366" t="s">
        <v>23</v>
      </c>
      <c r="I366">
        <v>8.3000000000000007</v>
      </c>
      <c r="J366">
        <v>8</v>
      </c>
      <c r="K366" t="s">
        <v>24</v>
      </c>
      <c r="L366">
        <v>2</v>
      </c>
      <c r="M366">
        <v>4</v>
      </c>
      <c r="N366" t="str">
        <f t="shared" si="25"/>
        <v>Low</v>
      </c>
      <c r="O366" t="str">
        <f t="shared" si="26"/>
        <v>High</v>
      </c>
      <c r="P366" t="str">
        <f t="shared" si="27"/>
        <v>High</v>
      </c>
      <c r="Q366" t="str">
        <f t="shared" si="28"/>
        <v>Good</v>
      </c>
      <c r="R366" t="str">
        <f t="shared" si="29"/>
        <v>Medium</v>
      </c>
    </row>
    <row r="367" spans="1:18" x14ac:dyDescent="0.45">
      <c r="A367">
        <v>366</v>
      </c>
      <c r="B367">
        <v>21</v>
      </c>
      <c r="C367" t="s">
        <v>19</v>
      </c>
      <c r="D367" t="s">
        <v>20</v>
      </c>
      <c r="E367" t="s">
        <v>65</v>
      </c>
      <c r="F367">
        <v>5.0999999999999996</v>
      </c>
      <c r="G367" t="s">
        <v>16</v>
      </c>
      <c r="H367" t="s">
        <v>17</v>
      </c>
      <c r="I367">
        <v>7.1</v>
      </c>
      <c r="J367">
        <v>6</v>
      </c>
      <c r="K367" t="s">
        <v>24</v>
      </c>
      <c r="L367">
        <v>3</v>
      </c>
      <c r="M367">
        <v>7</v>
      </c>
      <c r="N367" t="str">
        <f t="shared" si="25"/>
        <v>Medium</v>
      </c>
      <c r="O367" t="str">
        <f t="shared" si="26"/>
        <v>High</v>
      </c>
      <c r="P367" t="str">
        <f t="shared" si="27"/>
        <v>High</v>
      </c>
      <c r="Q367" t="str">
        <f t="shared" si="28"/>
        <v>Bad</v>
      </c>
      <c r="R367" t="str">
        <f t="shared" si="29"/>
        <v>High</v>
      </c>
    </row>
    <row r="368" spans="1:18" x14ac:dyDescent="0.45">
      <c r="A368">
        <v>367</v>
      </c>
      <c r="B368">
        <v>20</v>
      </c>
      <c r="C368" t="s">
        <v>13</v>
      </c>
      <c r="D368" t="s">
        <v>14</v>
      </c>
      <c r="E368" t="s">
        <v>25</v>
      </c>
      <c r="F368">
        <v>7.2</v>
      </c>
      <c r="G368" t="s">
        <v>26</v>
      </c>
      <c r="H368" t="s">
        <v>17</v>
      </c>
      <c r="I368">
        <v>5.0999999999999996</v>
      </c>
      <c r="J368">
        <v>5</v>
      </c>
      <c r="K368" t="s">
        <v>18</v>
      </c>
      <c r="L368">
        <v>4</v>
      </c>
      <c r="M368">
        <v>9</v>
      </c>
      <c r="N368" t="str">
        <f t="shared" si="25"/>
        <v>High</v>
      </c>
      <c r="O368" t="str">
        <f t="shared" si="26"/>
        <v>High</v>
      </c>
      <c r="P368" t="str">
        <f t="shared" si="27"/>
        <v>Average</v>
      </c>
      <c r="Q368" t="str">
        <f t="shared" si="28"/>
        <v>Bad</v>
      </c>
      <c r="R368" t="str">
        <f t="shared" si="29"/>
        <v>High</v>
      </c>
    </row>
    <row r="369" spans="1:18" x14ac:dyDescent="0.45">
      <c r="A369">
        <v>368</v>
      </c>
      <c r="B369">
        <v>22</v>
      </c>
      <c r="C369" t="s">
        <v>19</v>
      </c>
      <c r="D369" t="s">
        <v>20</v>
      </c>
      <c r="E369" t="s">
        <v>43</v>
      </c>
      <c r="F369">
        <v>6</v>
      </c>
      <c r="G369" t="s">
        <v>143</v>
      </c>
      <c r="H369" t="s">
        <v>17</v>
      </c>
      <c r="I369">
        <v>6.2</v>
      </c>
      <c r="J369">
        <v>6</v>
      </c>
      <c r="K369" t="s">
        <v>24</v>
      </c>
      <c r="L369">
        <v>3</v>
      </c>
      <c r="M369">
        <v>7</v>
      </c>
      <c r="N369" t="str">
        <f t="shared" si="25"/>
        <v>Medium</v>
      </c>
      <c r="O369" t="str">
        <f t="shared" si="26"/>
        <v>High</v>
      </c>
      <c r="P369" t="str">
        <f t="shared" si="27"/>
        <v>Average</v>
      </c>
      <c r="Q369" t="str">
        <f t="shared" si="28"/>
        <v>Bad</v>
      </c>
      <c r="R369" t="str">
        <f t="shared" si="29"/>
        <v>High</v>
      </c>
    </row>
    <row r="370" spans="1:18" x14ac:dyDescent="0.45">
      <c r="A370">
        <v>369</v>
      </c>
      <c r="B370">
        <v>19</v>
      </c>
      <c r="C370" t="s">
        <v>13</v>
      </c>
      <c r="D370" t="s">
        <v>14</v>
      </c>
      <c r="E370" t="s">
        <v>40</v>
      </c>
      <c r="F370">
        <v>4.0999999999999996</v>
      </c>
      <c r="G370" t="s">
        <v>16</v>
      </c>
      <c r="H370" t="s">
        <v>23</v>
      </c>
      <c r="I370">
        <v>7.9</v>
      </c>
      <c r="J370">
        <v>7</v>
      </c>
      <c r="K370" t="s">
        <v>18</v>
      </c>
      <c r="L370">
        <v>2</v>
      </c>
      <c r="M370">
        <v>5</v>
      </c>
      <c r="N370" t="str">
        <f t="shared" si="25"/>
        <v>Medium</v>
      </c>
      <c r="O370" t="str">
        <f t="shared" si="26"/>
        <v>High</v>
      </c>
      <c r="P370" t="str">
        <f t="shared" si="27"/>
        <v>High</v>
      </c>
      <c r="Q370" t="str">
        <f t="shared" si="28"/>
        <v>Bad</v>
      </c>
      <c r="R370" t="str">
        <f t="shared" si="29"/>
        <v>Medium</v>
      </c>
    </row>
    <row r="371" spans="1:18" x14ac:dyDescent="0.45">
      <c r="A371">
        <v>370</v>
      </c>
      <c r="B371">
        <v>21</v>
      </c>
      <c r="C371" t="s">
        <v>19</v>
      </c>
      <c r="D371" t="s">
        <v>20</v>
      </c>
      <c r="E371" t="s">
        <v>31</v>
      </c>
      <c r="F371">
        <v>4.9000000000000004</v>
      </c>
      <c r="G371" t="s">
        <v>16</v>
      </c>
      <c r="H371" t="s">
        <v>17</v>
      </c>
      <c r="I371">
        <v>7.3</v>
      </c>
      <c r="J371">
        <v>6</v>
      </c>
      <c r="K371" t="s">
        <v>24</v>
      </c>
      <c r="L371">
        <v>3</v>
      </c>
      <c r="M371">
        <v>7</v>
      </c>
      <c r="N371" t="str">
        <f t="shared" si="25"/>
        <v>Medium</v>
      </c>
      <c r="O371" t="str">
        <f t="shared" si="26"/>
        <v>Average</v>
      </c>
      <c r="P371" t="str">
        <f t="shared" si="27"/>
        <v>High</v>
      </c>
      <c r="Q371" t="str">
        <f t="shared" si="28"/>
        <v>Bad</v>
      </c>
      <c r="R371" t="str">
        <f t="shared" si="29"/>
        <v>High</v>
      </c>
    </row>
    <row r="372" spans="1:18" x14ac:dyDescent="0.45">
      <c r="A372">
        <v>371</v>
      </c>
      <c r="B372">
        <v>20</v>
      </c>
      <c r="C372" t="s">
        <v>13</v>
      </c>
      <c r="D372" t="s">
        <v>14</v>
      </c>
      <c r="E372" t="s">
        <v>41</v>
      </c>
      <c r="F372">
        <v>4.7</v>
      </c>
      <c r="G372" t="s">
        <v>26</v>
      </c>
      <c r="H372" t="s">
        <v>17</v>
      </c>
      <c r="I372">
        <v>7.2</v>
      </c>
      <c r="J372">
        <v>6</v>
      </c>
      <c r="K372" t="s">
        <v>24</v>
      </c>
      <c r="L372">
        <v>3</v>
      </c>
      <c r="M372">
        <v>7</v>
      </c>
      <c r="N372" t="str">
        <f t="shared" si="25"/>
        <v>Medium</v>
      </c>
      <c r="O372" t="str">
        <f t="shared" si="26"/>
        <v>High</v>
      </c>
      <c r="P372" t="str">
        <f t="shared" si="27"/>
        <v>High</v>
      </c>
      <c r="Q372" t="str">
        <f t="shared" si="28"/>
        <v>Bad</v>
      </c>
      <c r="R372" t="str">
        <f t="shared" si="29"/>
        <v>High</v>
      </c>
    </row>
    <row r="373" spans="1:18" x14ac:dyDescent="0.45">
      <c r="A373">
        <v>372</v>
      </c>
      <c r="B373">
        <v>22</v>
      </c>
      <c r="C373" t="s">
        <v>19</v>
      </c>
      <c r="D373" t="s">
        <v>20</v>
      </c>
      <c r="E373" t="s">
        <v>48</v>
      </c>
      <c r="F373">
        <v>3.5</v>
      </c>
      <c r="G373" t="s">
        <v>32</v>
      </c>
      <c r="H373" t="s">
        <v>23</v>
      </c>
      <c r="I373">
        <v>8.3000000000000007</v>
      </c>
      <c r="J373">
        <v>8</v>
      </c>
      <c r="K373" t="s">
        <v>18</v>
      </c>
      <c r="L373">
        <v>2</v>
      </c>
      <c r="M373">
        <v>4</v>
      </c>
      <c r="N373" t="str">
        <f t="shared" si="25"/>
        <v>Low</v>
      </c>
      <c r="O373" t="str">
        <f t="shared" si="26"/>
        <v>High</v>
      </c>
      <c r="P373" t="str">
        <f t="shared" si="27"/>
        <v>High</v>
      </c>
      <c r="Q373" t="str">
        <f t="shared" si="28"/>
        <v>Good</v>
      </c>
      <c r="R373" t="str">
        <f t="shared" si="29"/>
        <v>Medium</v>
      </c>
    </row>
    <row r="374" spans="1:18" x14ac:dyDescent="0.45">
      <c r="A374">
        <v>373</v>
      </c>
      <c r="B374">
        <v>19</v>
      </c>
      <c r="C374" t="s">
        <v>13</v>
      </c>
      <c r="D374" t="s">
        <v>14</v>
      </c>
      <c r="E374" t="s">
        <v>55</v>
      </c>
      <c r="F374">
        <v>4.4000000000000004</v>
      </c>
      <c r="G374" t="s">
        <v>16</v>
      </c>
      <c r="H374" t="s">
        <v>17</v>
      </c>
      <c r="I374">
        <v>7.5</v>
      </c>
      <c r="J374">
        <v>7</v>
      </c>
      <c r="K374" t="s">
        <v>24</v>
      </c>
      <c r="L374">
        <v>3</v>
      </c>
      <c r="M374">
        <v>6</v>
      </c>
      <c r="N374" t="str">
        <f t="shared" si="25"/>
        <v>Medium</v>
      </c>
      <c r="O374" t="str">
        <f t="shared" si="26"/>
        <v>Less</v>
      </c>
      <c r="P374" t="str">
        <f t="shared" si="27"/>
        <v>High</v>
      </c>
      <c r="Q374" t="str">
        <f t="shared" si="28"/>
        <v>Bad</v>
      </c>
      <c r="R374" t="str">
        <f t="shared" si="29"/>
        <v>Medium</v>
      </c>
    </row>
    <row r="375" spans="1:18" x14ac:dyDescent="0.45">
      <c r="A375">
        <v>374</v>
      </c>
      <c r="B375">
        <v>21</v>
      </c>
      <c r="C375" t="s">
        <v>19</v>
      </c>
      <c r="D375" t="s">
        <v>20</v>
      </c>
      <c r="E375" t="s">
        <v>21</v>
      </c>
      <c r="F375">
        <v>6.3</v>
      </c>
      <c r="G375" t="s">
        <v>143</v>
      </c>
      <c r="H375" t="s">
        <v>17</v>
      </c>
      <c r="I375">
        <v>6</v>
      </c>
      <c r="J375">
        <v>5</v>
      </c>
      <c r="K375" t="s">
        <v>18</v>
      </c>
      <c r="L375">
        <v>4</v>
      </c>
      <c r="M375">
        <v>8</v>
      </c>
      <c r="N375" t="str">
        <f t="shared" si="25"/>
        <v>Medium</v>
      </c>
      <c r="O375" t="str">
        <f t="shared" si="26"/>
        <v>Average</v>
      </c>
      <c r="P375" t="str">
        <f t="shared" si="27"/>
        <v>Average</v>
      </c>
      <c r="Q375" t="str">
        <f t="shared" si="28"/>
        <v>Bad</v>
      </c>
      <c r="R375" t="str">
        <f t="shared" si="29"/>
        <v>High</v>
      </c>
    </row>
    <row r="376" spans="1:18" x14ac:dyDescent="0.45">
      <c r="A376">
        <v>375</v>
      </c>
      <c r="B376">
        <v>20</v>
      </c>
      <c r="C376" t="s">
        <v>13</v>
      </c>
      <c r="D376" t="s">
        <v>14</v>
      </c>
      <c r="E376" t="s">
        <v>51</v>
      </c>
      <c r="F376">
        <v>3.4</v>
      </c>
      <c r="G376" t="s">
        <v>16</v>
      </c>
      <c r="H376" t="s">
        <v>23</v>
      </c>
      <c r="I376">
        <v>8.4</v>
      </c>
      <c r="J376">
        <v>8</v>
      </c>
      <c r="K376" t="s">
        <v>24</v>
      </c>
      <c r="L376">
        <v>2</v>
      </c>
      <c r="M376">
        <v>4</v>
      </c>
      <c r="N376" t="str">
        <f t="shared" si="25"/>
        <v>Low</v>
      </c>
      <c r="O376" t="str">
        <f t="shared" si="26"/>
        <v>High</v>
      </c>
      <c r="P376" t="str">
        <f t="shared" si="27"/>
        <v>High</v>
      </c>
      <c r="Q376" t="str">
        <f t="shared" si="28"/>
        <v>Good</v>
      </c>
      <c r="R376" t="str">
        <f t="shared" si="29"/>
        <v>Medium</v>
      </c>
    </row>
    <row r="377" spans="1:18" x14ac:dyDescent="0.45">
      <c r="A377">
        <v>376</v>
      </c>
      <c r="B377">
        <v>22</v>
      </c>
      <c r="C377" t="s">
        <v>19</v>
      </c>
      <c r="D377" t="s">
        <v>20</v>
      </c>
      <c r="E377" t="s">
        <v>65</v>
      </c>
      <c r="F377">
        <v>5</v>
      </c>
      <c r="G377" t="s">
        <v>26</v>
      </c>
      <c r="H377" t="s">
        <v>17</v>
      </c>
      <c r="I377">
        <v>7.2</v>
      </c>
      <c r="J377">
        <v>6</v>
      </c>
      <c r="K377" t="s">
        <v>24</v>
      </c>
      <c r="L377">
        <v>3</v>
      </c>
      <c r="M377">
        <v>7</v>
      </c>
      <c r="N377" t="str">
        <f t="shared" si="25"/>
        <v>Medium</v>
      </c>
      <c r="O377" t="str">
        <f t="shared" si="26"/>
        <v>High</v>
      </c>
      <c r="P377" t="str">
        <f t="shared" si="27"/>
        <v>High</v>
      </c>
      <c r="Q377" t="str">
        <f t="shared" si="28"/>
        <v>Bad</v>
      </c>
      <c r="R377" t="str">
        <f t="shared" si="29"/>
        <v>High</v>
      </c>
    </row>
    <row r="378" spans="1:18" x14ac:dyDescent="0.45">
      <c r="A378">
        <v>377</v>
      </c>
      <c r="B378">
        <v>19</v>
      </c>
      <c r="C378" t="s">
        <v>13</v>
      </c>
      <c r="D378" t="s">
        <v>14</v>
      </c>
      <c r="E378" t="s">
        <v>25</v>
      </c>
      <c r="F378">
        <v>7.3</v>
      </c>
      <c r="G378" t="s">
        <v>16</v>
      </c>
      <c r="H378" t="s">
        <v>17</v>
      </c>
      <c r="I378">
        <v>5</v>
      </c>
      <c r="J378">
        <v>5</v>
      </c>
      <c r="K378" t="s">
        <v>18</v>
      </c>
      <c r="L378">
        <v>4</v>
      </c>
      <c r="M378">
        <v>9</v>
      </c>
      <c r="N378" t="str">
        <f t="shared" si="25"/>
        <v>High</v>
      </c>
      <c r="O378" t="str">
        <f t="shared" si="26"/>
        <v>High</v>
      </c>
      <c r="P378" t="str">
        <f t="shared" si="27"/>
        <v>Less</v>
      </c>
      <c r="Q378" t="str">
        <f t="shared" si="28"/>
        <v>Bad</v>
      </c>
      <c r="R378" t="str">
        <f t="shared" si="29"/>
        <v>High</v>
      </c>
    </row>
    <row r="379" spans="1:18" x14ac:dyDescent="0.45">
      <c r="A379">
        <v>378</v>
      </c>
      <c r="B379">
        <v>21</v>
      </c>
      <c r="C379" t="s">
        <v>19</v>
      </c>
      <c r="D379" t="s">
        <v>20</v>
      </c>
      <c r="E379" t="s">
        <v>43</v>
      </c>
      <c r="F379">
        <v>6.1</v>
      </c>
      <c r="G379" t="s">
        <v>143</v>
      </c>
      <c r="H379" t="s">
        <v>17</v>
      </c>
      <c r="I379">
        <v>6.1</v>
      </c>
      <c r="J379">
        <v>6</v>
      </c>
      <c r="K379" t="s">
        <v>24</v>
      </c>
      <c r="L379">
        <v>3</v>
      </c>
      <c r="M379">
        <v>7</v>
      </c>
      <c r="N379" t="str">
        <f t="shared" si="25"/>
        <v>Medium</v>
      </c>
      <c r="O379" t="str">
        <f t="shared" si="26"/>
        <v>High</v>
      </c>
      <c r="P379" t="str">
        <f t="shared" si="27"/>
        <v>Average</v>
      </c>
      <c r="Q379" t="str">
        <f t="shared" si="28"/>
        <v>Bad</v>
      </c>
      <c r="R379" t="str">
        <f t="shared" si="29"/>
        <v>High</v>
      </c>
    </row>
    <row r="380" spans="1:18" x14ac:dyDescent="0.45">
      <c r="A380">
        <v>379</v>
      </c>
      <c r="B380">
        <v>20</v>
      </c>
      <c r="C380" t="s">
        <v>13</v>
      </c>
      <c r="D380" t="s">
        <v>14</v>
      </c>
      <c r="E380" t="s">
        <v>40</v>
      </c>
      <c r="F380">
        <v>4</v>
      </c>
      <c r="G380" t="s">
        <v>16</v>
      </c>
      <c r="H380" t="s">
        <v>23</v>
      </c>
      <c r="I380">
        <v>8</v>
      </c>
      <c r="J380">
        <v>7</v>
      </c>
      <c r="K380" t="s">
        <v>18</v>
      </c>
      <c r="L380">
        <v>2</v>
      </c>
      <c r="M380">
        <v>5</v>
      </c>
      <c r="N380" t="str">
        <f t="shared" si="25"/>
        <v>Medium</v>
      </c>
      <c r="O380" t="str">
        <f t="shared" si="26"/>
        <v>High</v>
      </c>
      <c r="P380" t="str">
        <f t="shared" si="27"/>
        <v>High</v>
      </c>
      <c r="Q380" t="str">
        <f t="shared" si="28"/>
        <v>Bad</v>
      </c>
      <c r="R380" t="str">
        <f t="shared" si="29"/>
        <v>Medium</v>
      </c>
    </row>
    <row r="381" spans="1:18" x14ac:dyDescent="0.45">
      <c r="A381">
        <v>380</v>
      </c>
      <c r="B381">
        <v>22</v>
      </c>
      <c r="C381" t="s">
        <v>19</v>
      </c>
      <c r="D381" t="s">
        <v>20</v>
      </c>
      <c r="E381" t="s">
        <v>31</v>
      </c>
      <c r="F381">
        <v>4.8</v>
      </c>
      <c r="G381" t="s">
        <v>26</v>
      </c>
      <c r="H381" t="s">
        <v>17</v>
      </c>
      <c r="I381">
        <v>7.4</v>
      </c>
      <c r="J381">
        <v>6</v>
      </c>
      <c r="K381" t="s">
        <v>24</v>
      </c>
      <c r="L381">
        <v>3</v>
      </c>
      <c r="M381">
        <v>7</v>
      </c>
      <c r="N381" t="str">
        <f t="shared" si="25"/>
        <v>Medium</v>
      </c>
      <c r="O381" t="str">
        <f t="shared" si="26"/>
        <v>Average</v>
      </c>
      <c r="P381" t="str">
        <f t="shared" si="27"/>
        <v>High</v>
      </c>
      <c r="Q381" t="str">
        <f t="shared" si="28"/>
        <v>Bad</v>
      </c>
      <c r="R381" t="str">
        <f t="shared" si="29"/>
        <v>High</v>
      </c>
    </row>
    <row r="382" spans="1:18" x14ac:dyDescent="0.45">
      <c r="A382">
        <v>381</v>
      </c>
      <c r="B382">
        <v>19</v>
      </c>
      <c r="C382" t="s">
        <v>13</v>
      </c>
      <c r="D382" t="s">
        <v>14</v>
      </c>
      <c r="E382" t="s">
        <v>41</v>
      </c>
      <c r="F382">
        <v>4.5999999999999996</v>
      </c>
      <c r="G382" t="s">
        <v>16</v>
      </c>
      <c r="H382" t="s">
        <v>17</v>
      </c>
      <c r="I382">
        <v>7.3</v>
      </c>
      <c r="J382">
        <v>6</v>
      </c>
      <c r="K382" t="s">
        <v>24</v>
      </c>
      <c r="L382">
        <v>3</v>
      </c>
      <c r="M382">
        <v>7</v>
      </c>
      <c r="N382" t="str">
        <f t="shared" si="25"/>
        <v>Medium</v>
      </c>
      <c r="O382" t="str">
        <f t="shared" si="26"/>
        <v>High</v>
      </c>
      <c r="P382" t="str">
        <f t="shared" si="27"/>
        <v>High</v>
      </c>
      <c r="Q382" t="str">
        <f t="shared" si="28"/>
        <v>Bad</v>
      </c>
      <c r="R382" t="str">
        <f t="shared" si="29"/>
        <v>High</v>
      </c>
    </row>
    <row r="383" spans="1:18" x14ac:dyDescent="0.45">
      <c r="A383">
        <v>382</v>
      </c>
      <c r="B383">
        <v>21</v>
      </c>
      <c r="C383" t="s">
        <v>19</v>
      </c>
      <c r="D383" t="s">
        <v>20</v>
      </c>
      <c r="E383" t="s">
        <v>48</v>
      </c>
      <c r="F383">
        <v>3.4</v>
      </c>
      <c r="G383" t="s">
        <v>32</v>
      </c>
      <c r="H383" t="s">
        <v>23</v>
      </c>
      <c r="I383">
        <v>8.4</v>
      </c>
      <c r="J383">
        <v>8</v>
      </c>
      <c r="K383" t="s">
        <v>18</v>
      </c>
      <c r="L383">
        <v>2</v>
      </c>
      <c r="M383">
        <v>4</v>
      </c>
      <c r="N383" t="str">
        <f t="shared" si="25"/>
        <v>Low</v>
      </c>
      <c r="O383" t="str">
        <f t="shared" si="26"/>
        <v>High</v>
      </c>
      <c r="P383" t="str">
        <f t="shared" si="27"/>
        <v>High</v>
      </c>
      <c r="Q383" t="str">
        <f t="shared" si="28"/>
        <v>Good</v>
      </c>
      <c r="R383" t="str">
        <f t="shared" si="29"/>
        <v>Medium</v>
      </c>
    </row>
    <row r="384" spans="1:18" x14ac:dyDescent="0.45">
      <c r="A384">
        <v>383</v>
      </c>
      <c r="B384">
        <v>20</v>
      </c>
      <c r="C384" t="s">
        <v>13</v>
      </c>
      <c r="D384" t="s">
        <v>14</v>
      </c>
      <c r="E384" t="s">
        <v>55</v>
      </c>
      <c r="F384">
        <v>4.3</v>
      </c>
      <c r="G384" t="s">
        <v>26</v>
      </c>
      <c r="H384" t="s">
        <v>17</v>
      </c>
      <c r="I384">
        <v>7.6</v>
      </c>
      <c r="J384">
        <v>7</v>
      </c>
      <c r="K384" t="s">
        <v>24</v>
      </c>
      <c r="L384">
        <v>3</v>
      </c>
      <c r="M384">
        <v>6</v>
      </c>
      <c r="N384" t="str">
        <f t="shared" si="25"/>
        <v>Medium</v>
      </c>
      <c r="O384" t="str">
        <f t="shared" si="26"/>
        <v>Less</v>
      </c>
      <c r="P384" t="str">
        <f t="shared" si="27"/>
        <v>High</v>
      </c>
      <c r="Q384" t="str">
        <f t="shared" si="28"/>
        <v>Bad</v>
      </c>
      <c r="R384" t="str">
        <f t="shared" si="29"/>
        <v>Medium</v>
      </c>
    </row>
    <row r="385" spans="1:18" x14ac:dyDescent="0.45">
      <c r="A385">
        <v>384</v>
      </c>
      <c r="B385">
        <v>22</v>
      </c>
      <c r="C385" t="s">
        <v>19</v>
      </c>
      <c r="D385" t="s">
        <v>20</v>
      </c>
      <c r="E385" t="s">
        <v>21</v>
      </c>
      <c r="F385">
        <v>6.4</v>
      </c>
      <c r="G385" t="s">
        <v>143</v>
      </c>
      <c r="H385" t="s">
        <v>17</v>
      </c>
      <c r="I385">
        <v>5.9</v>
      </c>
      <c r="J385">
        <v>5</v>
      </c>
      <c r="K385" t="s">
        <v>18</v>
      </c>
      <c r="L385">
        <v>4</v>
      </c>
      <c r="M385">
        <v>8</v>
      </c>
      <c r="N385" t="str">
        <f t="shared" si="25"/>
        <v>Medium</v>
      </c>
      <c r="O385" t="str">
        <f t="shared" si="26"/>
        <v>Average</v>
      </c>
      <c r="P385" t="str">
        <f t="shared" si="27"/>
        <v>Average</v>
      </c>
      <c r="Q385" t="str">
        <f t="shared" si="28"/>
        <v>Bad</v>
      </c>
      <c r="R385" t="str">
        <f t="shared" si="29"/>
        <v>High</v>
      </c>
    </row>
    <row r="386" spans="1:18" x14ac:dyDescent="0.45">
      <c r="A386">
        <v>385</v>
      </c>
      <c r="B386">
        <v>19</v>
      </c>
      <c r="C386" t="s">
        <v>13</v>
      </c>
      <c r="D386" t="s">
        <v>14</v>
      </c>
      <c r="E386" t="s">
        <v>51</v>
      </c>
      <c r="F386">
        <v>3.3</v>
      </c>
      <c r="G386" t="s">
        <v>16</v>
      </c>
      <c r="H386" t="s">
        <v>23</v>
      </c>
      <c r="I386">
        <v>8.5</v>
      </c>
      <c r="J386">
        <v>8</v>
      </c>
      <c r="K386" t="s">
        <v>24</v>
      </c>
      <c r="L386">
        <v>2</v>
      </c>
      <c r="M386">
        <v>4</v>
      </c>
      <c r="N386" t="str">
        <f t="shared" si="25"/>
        <v>Low</v>
      </c>
      <c r="O386" t="str">
        <f t="shared" si="26"/>
        <v>High</v>
      </c>
      <c r="P386" t="str">
        <f t="shared" si="27"/>
        <v>High</v>
      </c>
      <c r="Q386" t="str">
        <f t="shared" si="28"/>
        <v>Good</v>
      </c>
      <c r="R386" t="str">
        <f t="shared" si="29"/>
        <v>Medium</v>
      </c>
    </row>
    <row r="387" spans="1:18" x14ac:dyDescent="0.45">
      <c r="A387">
        <v>386</v>
      </c>
      <c r="B387">
        <v>21</v>
      </c>
      <c r="C387" t="s">
        <v>19</v>
      </c>
      <c r="D387" t="s">
        <v>20</v>
      </c>
      <c r="E387" t="s">
        <v>65</v>
      </c>
      <c r="F387">
        <v>4.9000000000000004</v>
      </c>
      <c r="G387" t="s">
        <v>16</v>
      </c>
      <c r="H387" t="s">
        <v>17</v>
      </c>
      <c r="I387">
        <v>7.3</v>
      </c>
      <c r="J387">
        <v>6</v>
      </c>
      <c r="K387" t="s">
        <v>24</v>
      </c>
      <c r="L387">
        <v>3</v>
      </c>
      <c r="M387">
        <v>7</v>
      </c>
      <c r="N387" t="str">
        <f t="shared" ref="N387:N450" si="30">IF(AND(F387&gt;=1.5,F387&lt;=3.5),"Low",IF(AND(F387&gt;3.5,F387&lt;=6.5),"Medium","High"))</f>
        <v>Medium</v>
      </c>
      <c r="O387" t="str">
        <f t="shared" ref="O387:O450" si="31">IF(AND(I401&gt;=3.8,I401&lt;=5),"Less",IF(AND(I401&gt;5,I401&lt;=7),"Average","High"))</f>
        <v>High</v>
      </c>
      <c r="P387" t="str">
        <f t="shared" ref="P387:P450" si="32">IF(AND(I387&gt;=3.8,I387&lt;=5),"Less",IF(AND(I387&gt;5,I387&lt;=7),"Average","High"))</f>
        <v>High</v>
      </c>
      <c r="Q387" t="str">
        <f t="shared" si="28"/>
        <v>Bad</v>
      </c>
      <c r="R387" t="str">
        <f t="shared" si="29"/>
        <v>High</v>
      </c>
    </row>
    <row r="388" spans="1:18" x14ac:dyDescent="0.45">
      <c r="A388">
        <v>387</v>
      </c>
      <c r="B388">
        <v>20</v>
      </c>
      <c r="C388" t="s">
        <v>13</v>
      </c>
      <c r="D388" t="s">
        <v>14</v>
      </c>
      <c r="E388" t="s">
        <v>25</v>
      </c>
      <c r="F388">
        <v>7.4</v>
      </c>
      <c r="G388" t="s">
        <v>26</v>
      </c>
      <c r="H388" t="s">
        <v>17</v>
      </c>
      <c r="I388">
        <v>4.9000000000000004</v>
      </c>
      <c r="J388">
        <v>5</v>
      </c>
      <c r="K388" t="s">
        <v>18</v>
      </c>
      <c r="L388">
        <v>4</v>
      </c>
      <c r="M388">
        <v>9</v>
      </c>
      <c r="N388" t="str">
        <f t="shared" si="30"/>
        <v>High</v>
      </c>
      <c r="O388" t="str">
        <f t="shared" si="31"/>
        <v>High</v>
      </c>
      <c r="P388" t="str">
        <f t="shared" si="32"/>
        <v>Less</v>
      </c>
      <c r="Q388" t="str">
        <f t="shared" si="28"/>
        <v>Bad</v>
      </c>
      <c r="R388" t="str">
        <f t="shared" si="29"/>
        <v>High</v>
      </c>
    </row>
    <row r="389" spans="1:18" x14ac:dyDescent="0.45">
      <c r="A389">
        <v>388</v>
      </c>
      <c r="B389">
        <v>22</v>
      </c>
      <c r="C389" t="s">
        <v>19</v>
      </c>
      <c r="D389" t="s">
        <v>20</v>
      </c>
      <c r="E389" t="s">
        <v>43</v>
      </c>
      <c r="F389">
        <v>6.2</v>
      </c>
      <c r="G389" t="s">
        <v>143</v>
      </c>
      <c r="H389" t="s">
        <v>17</v>
      </c>
      <c r="I389">
        <v>6</v>
      </c>
      <c r="J389">
        <v>6</v>
      </c>
      <c r="K389" t="s">
        <v>24</v>
      </c>
      <c r="L389">
        <v>3</v>
      </c>
      <c r="M389">
        <v>7</v>
      </c>
      <c r="N389" t="str">
        <f t="shared" si="30"/>
        <v>Medium</v>
      </c>
      <c r="O389" t="str">
        <f t="shared" si="31"/>
        <v>High</v>
      </c>
      <c r="P389" t="str">
        <f t="shared" si="32"/>
        <v>Average</v>
      </c>
      <c r="Q389" t="str">
        <f t="shared" si="28"/>
        <v>Bad</v>
      </c>
      <c r="R389" t="str">
        <f t="shared" si="29"/>
        <v>High</v>
      </c>
    </row>
    <row r="390" spans="1:18" x14ac:dyDescent="0.45">
      <c r="A390">
        <v>389</v>
      </c>
      <c r="B390">
        <v>19</v>
      </c>
      <c r="C390" t="s">
        <v>13</v>
      </c>
      <c r="D390" t="s">
        <v>14</v>
      </c>
      <c r="E390" t="s">
        <v>40</v>
      </c>
      <c r="F390">
        <v>3.9</v>
      </c>
      <c r="G390" t="s">
        <v>16</v>
      </c>
      <c r="H390" t="s">
        <v>23</v>
      </c>
      <c r="I390">
        <v>8.1</v>
      </c>
      <c r="J390">
        <v>7</v>
      </c>
      <c r="K390" t="s">
        <v>18</v>
      </c>
      <c r="L390">
        <v>2</v>
      </c>
      <c r="M390">
        <v>5</v>
      </c>
      <c r="N390" t="str">
        <f t="shared" si="30"/>
        <v>Medium</v>
      </c>
      <c r="O390" t="str">
        <f t="shared" si="31"/>
        <v>High</v>
      </c>
      <c r="P390" t="str">
        <f t="shared" si="32"/>
        <v>High</v>
      </c>
      <c r="Q390" t="str">
        <f t="shared" ref="Q390:Q453" si="33">IF(AND(J390&gt;=0,J390&lt;=4),"Worst",IF(AND(J390&gt;4,J390&lt;=7),"Bad","Good"))</f>
        <v>Bad</v>
      </c>
      <c r="R390" t="str">
        <f t="shared" ref="R390:R453" si="34">IF(AND(M390&gt;0,M390&lt;=3),"Less",IF(AND(M390&gt;3,M390&lt;=6),"Medium","High"))</f>
        <v>Medium</v>
      </c>
    </row>
    <row r="391" spans="1:18" x14ac:dyDescent="0.45">
      <c r="A391">
        <v>390</v>
      </c>
      <c r="B391">
        <v>21</v>
      </c>
      <c r="C391" t="s">
        <v>19</v>
      </c>
      <c r="D391" t="s">
        <v>20</v>
      </c>
      <c r="E391" t="s">
        <v>31</v>
      </c>
      <c r="F391">
        <v>4.7</v>
      </c>
      <c r="G391" t="s">
        <v>16</v>
      </c>
      <c r="H391" t="s">
        <v>17</v>
      </c>
      <c r="I391">
        <v>7.5</v>
      </c>
      <c r="J391">
        <v>6</v>
      </c>
      <c r="K391" t="s">
        <v>24</v>
      </c>
      <c r="L391">
        <v>3</v>
      </c>
      <c r="M391">
        <v>7</v>
      </c>
      <c r="N391" t="str">
        <f t="shared" si="30"/>
        <v>Medium</v>
      </c>
      <c r="O391" t="str">
        <f t="shared" si="31"/>
        <v>Average</v>
      </c>
      <c r="P391" t="str">
        <f t="shared" si="32"/>
        <v>High</v>
      </c>
      <c r="Q391" t="str">
        <f t="shared" si="33"/>
        <v>Bad</v>
      </c>
      <c r="R391" t="str">
        <f t="shared" si="34"/>
        <v>High</v>
      </c>
    </row>
    <row r="392" spans="1:18" x14ac:dyDescent="0.45">
      <c r="A392">
        <v>391</v>
      </c>
      <c r="B392">
        <v>20</v>
      </c>
      <c r="C392" t="s">
        <v>13</v>
      </c>
      <c r="D392" t="s">
        <v>14</v>
      </c>
      <c r="E392" t="s">
        <v>41</v>
      </c>
      <c r="F392">
        <v>4.5</v>
      </c>
      <c r="G392" t="s">
        <v>26</v>
      </c>
      <c r="H392" t="s">
        <v>17</v>
      </c>
      <c r="I392">
        <v>7.4</v>
      </c>
      <c r="J392">
        <v>6</v>
      </c>
      <c r="K392" t="s">
        <v>24</v>
      </c>
      <c r="L392">
        <v>3</v>
      </c>
      <c r="M392">
        <v>7</v>
      </c>
      <c r="N392" t="str">
        <f t="shared" si="30"/>
        <v>Medium</v>
      </c>
      <c r="O392" t="str">
        <f t="shared" si="31"/>
        <v>High</v>
      </c>
      <c r="P392" t="str">
        <f t="shared" si="32"/>
        <v>High</v>
      </c>
      <c r="Q392" t="str">
        <f t="shared" si="33"/>
        <v>Bad</v>
      </c>
      <c r="R392" t="str">
        <f t="shared" si="34"/>
        <v>High</v>
      </c>
    </row>
    <row r="393" spans="1:18" x14ac:dyDescent="0.45">
      <c r="A393">
        <v>392</v>
      </c>
      <c r="B393">
        <v>22</v>
      </c>
      <c r="C393" t="s">
        <v>19</v>
      </c>
      <c r="D393" t="s">
        <v>20</v>
      </c>
      <c r="E393" t="s">
        <v>48</v>
      </c>
      <c r="F393">
        <v>3.3</v>
      </c>
      <c r="G393" t="s">
        <v>32</v>
      </c>
      <c r="H393" t="s">
        <v>23</v>
      </c>
      <c r="I393">
        <v>8.5</v>
      </c>
      <c r="J393">
        <v>8</v>
      </c>
      <c r="K393" t="s">
        <v>18</v>
      </c>
      <c r="L393">
        <v>2</v>
      </c>
      <c r="M393">
        <v>4</v>
      </c>
      <c r="N393" t="str">
        <f t="shared" si="30"/>
        <v>Low</v>
      </c>
      <c r="O393" t="str">
        <f t="shared" si="31"/>
        <v>High</v>
      </c>
      <c r="P393" t="str">
        <f t="shared" si="32"/>
        <v>High</v>
      </c>
      <c r="Q393" t="str">
        <f t="shared" si="33"/>
        <v>Good</v>
      </c>
      <c r="R393" t="str">
        <f t="shared" si="34"/>
        <v>Medium</v>
      </c>
    </row>
    <row r="394" spans="1:18" x14ac:dyDescent="0.45">
      <c r="A394">
        <v>393</v>
      </c>
      <c r="B394">
        <v>19</v>
      </c>
      <c r="C394" t="s">
        <v>13</v>
      </c>
      <c r="D394" t="s">
        <v>14</v>
      </c>
      <c r="E394" t="s">
        <v>55</v>
      </c>
      <c r="F394">
        <v>4.2</v>
      </c>
      <c r="G394" t="s">
        <v>16</v>
      </c>
      <c r="H394" t="s">
        <v>17</v>
      </c>
      <c r="I394">
        <v>7.7</v>
      </c>
      <c r="J394">
        <v>7</v>
      </c>
      <c r="K394" t="s">
        <v>24</v>
      </c>
      <c r="L394">
        <v>3</v>
      </c>
      <c r="M394">
        <v>6</v>
      </c>
      <c r="N394" t="str">
        <f t="shared" si="30"/>
        <v>Medium</v>
      </c>
      <c r="O394" t="str">
        <f t="shared" si="31"/>
        <v>Less</v>
      </c>
      <c r="P394" t="str">
        <f t="shared" si="32"/>
        <v>High</v>
      </c>
      <c r="Q394" t="str">
        <f t="shared" si="33"/>
        <v>Bad</v>
      </c>
      <c r="R394" t="str">
        <f t="shared" si="34"/>
        <v>Medium</v>
      </c>
    </row>
    <row r="395" spans="1:18" x14ac:dyDescent="0.45">
      <c r="A395">
        <v>394</v>
      </c>
      <c r="B395">
        <v>21</v>
      </c>
      <c r="C395" t="s">
        <v>19</v>
      </c>
      <c r="D395" t="s">
        <v>20</v>
      </c>
      <c r="E395" t="s">
        <v>21</v>
      </c>
      <c r="F395">
        <v>6.5</v>
      </c>
      <c r="G395" t="s">
        <v>143</v>
      </c>
      <c r="H395" t="s">
        <v>17</v>
      </c>
      <c r="I395">
        <v>5.8</v>
      </c>
      <c r="J395">
        <v>5</v>
      </c>
      <c r="K395" t="s">
        <v>18</v>
      </c>
      <c r="L395">
        <v>4</v>
      </c>
      <c r="M395">
        <v>8</v>
      </c>
      <c r="N395" t="str">
        <f t="shared" si="30"/>
        <v>Medium</v>
      </c>
      <c r="O395" t="str">
        <f t="shared" si="31"/>
        <v>Average</v>
      </c>
      <c r="P395" t="str">
        <f t="shared" si="32"/>
        <v>Average</v>
      </c>
      <c r="Q395" t="str">
        <f t="shared" si="33"/>
        <v>Bad</v>
      </c>
      <c r="R395" t="str">
        <f t="shared" si="34"/>
        <v>High</v>
      </c>
    </row>
    <row r="396" spans="1:18" x14ac:dyDescent="0.45">
      <c r="A396">
        <v>395</v>
      </c>
      <c r="B396">
        <v>20</v>
      </c>
      <c r="C396" t="s">
        <v>13</v>
      </c>
      <c r="D396" t="s">
        <v>14</v>
      </c>
      <c r="E396" t="s">
        <v>51</v>
      </c>
      <c r="F396">
        <v>3.2</v>
      </c>
      <c r="G396" t="s">
        <v>16</v>
      </c>
      <c r="H396" t="s">
        <v>23</v>
      </c>
      <c r="I396">
        <v>8.6</v>
      </c>
      <c r="J396">
        <v>8</v>
      </c>
      <c r="K396" t="s">
        <v>24</v>
      </c>
      <c r="L396">
        <v>2</v>
      </c>
      <c r="M396">
        <v>4</v>
      </c>
      <c r="N396" t="str">
        <f t="shared" si="30"/>
        <v>Low</v>
      </c>
      <c r="O396" t="str">
        <f t="shared" si="31"/>
        <v>High</v>
      </c>
      <c r="P396" t="str">
        <f t="shared" si="32"/>
        <v>High</v>
      </c>
      <c r="Q396" t="str">
        <f t="shared" si="33"/>
        <v>Good</v>
      </c>
      <c r="R396" t="str">
        <f t="shared" si="34"/>
        <v>Medium</v>
      </c>
    </row>
    <row r="397" spans="1:18" x14ac:dyDescent="0.45">
      <c r="A397">
        <v>396</v>
      </c>
      <c r="B397">
        <v>22</v>
      </c>
      <c r="C397" t="s">
        <v>19</v>
      </c>
      <c r="D397" t="s">
        <v>20</v>
      </c>
      <c r="E397" t="s">
        <v>65</v>
      </c>
      <c r="F397">
        <v>4.8</v>
      </c>
      <c r="G397" t="s">
        <v>26</v>
      </c>
      <c r="H397" t="s">
        <v>17</v>
      </c>
      <c r="I397">
        <v>7.4</v>
      </c>
      <c r="J397">
        <v>6</v>
      </c>
      <c r="K397" t="s">
        <v>24</v>
      </c>
      <c r="L397">
        <v>3</v>
      </c>
      <c r="M397">
        <v>7</v>
      </c>
      <c r="N397" t="str">
        <f t="shared" si="30"/>
        <v>Medium</v>
      </c>
      <c r="O397" t="str">
        <f t="shared" si="31"/>
        <v>High</v>
      </c>
      <c r="P397" t="str">
        <f t="shared" si="32"/>
        <v>High</v>
      </c>
      <c r="Q397" t="str">
        <f t="shared" si="33"/>
        <v>Bad</v>
      </c>
      <c r="R397" t="str">
        <f t="shared" si="34"/>
        <v>High</v>
      </c>
    </row>
    <row r="398" spans="1:18" x14ac:dyDescent="0.45">
      <c r="A398">
        <v>397</v>
      </c>
      <c r="B398">
        <v>19</v>
      </c>
      <c r="C398" t="s">
        <v>13</v>
      </c>
      <c r="D398" t="s">
        <v>14</v>
      </c>
      <c r="E398" t="s">
        <v>25</v>
      </c>
      <c r="F398">
        <v>7.5</v>
      </c>
      <c r="G398" t="s">
        <v>16</v>
      </c>
      <c r="H398" t="s">
        <v>17</v>
      </c>
      <c r="I398">
        <v>4.8</v>
      </c>
      <c r="J398">
        <v>5</v>
      </c>
      <c r="K398" t="s">
        <v>18</v>
      </c>
      <c r="L398">
        <v>4</v>
      </c>
      <c r="M398">
        <v>9</v>
      </c>
      <c r="N398" t="str">
        <f t="shared" si="30"/>
        <v>High</v>
      </c>
      <c r="O398" t="str">
        <f t="shared" si="31"/>
        <v>High</v>
      </c>
      <c r="P398" t="str">
        <f t="shared" si="32"/>
        <v>Less</v>
      </c>
      <c r="Q398" t="str">
        <f t="shared" si="33"/>
        <v>Bad</v>
      </c>
      <c r="R398" t="str">
        <f t="shared" si="34"/>
        <v>High</v>
      </c>
    </row>
    <row r="399" spans="1:18" x14ac:dyDescent="0.45">
      <c r="A399">
        <v>398</v>
      </c>
      <c r="B399">
        <v>21</v>
      </c>
      <c r="C399" t="s">
        <v>19</v>
      </c>
      <c r="D399" t="s">
        <v>20</v>
      </c>
      <c r="E399" t="s">
        <v>43</v>
      </c>
      <c r="F399">
        <v>6.3</v>
      </c>
      <c r="G399" t="s">
        <v>143</v>
      </c>
      <c r="H399" t="s">
        <v>17</v>
      </c>
      <c r="I399">
        <v>5.9</v>
      </c>
      <c r="J399">
        <v>6</v>
      </c>
      <c r="K399" t="s">
        <v>24</v>
      </c>
      <c r="L399">
        <v>3</v>
      </c>
      <c r="M399">
        <v>7</v>
      </c>
      <c r="N399" t="str">
        <f t="shared" si="30"/>
        <v>Medium</v>
      </c>
      <c r="O399" t="str">
        <f t="shared" si="31"/>
        <v>High</v>
      </c>
      <c r="P399" t="str">
        <f t="shared" si="32"/>
        <v>Average</v>
      </c>
      <c r="Q399" t="str">
        <f t="shared" si="33"/>
        <v>Bad</v>
      </c>
      <c r="R399" t="str">
        <f t="shared" si="34"/>
        <v>High</v>
      </c>
    </row>
    <row r="400" spans="1:18" x14ac:dyDescent="0.45">
      <c r="A400">
        <v>399</v>
      </c>
      <c r="B400">
        <v>20</v>
      </c>
      <c r="C400" t="s">
        <v>13</v>
      </c>
      <c r="D400" t="s">
        <v>14</v>
      </c>
      <c r="E400" t="s">
        <v>40</v>
      </c>
      <c r="F400">
        <v>3.8</v>
      </c>
      <c r="G400" t="s">
        <v>16</v>
      </c>
      <c r="H400" t="s">
        <v>23</v>
      </c>
      <c r="I400">
        <v>8.1999999999999993</v>
      </c>
      <c r="J400">
        <v>7</v>
      </c>
      <c r="K400" t="s">
        <v>18</v>
      </c>
      <c r="L400">
        <v>2</v>
      </c>
      <c r="M400">
        <v>5</v>
      </c>
      <c r="N400" t="str">
        <f t="shared" si="30"/>
        <v>Medium</v>
      </c>
      <c r="O400" t="str">
        <f t="shared" si="31"/>
        <v>High</v>
      </c>
      <c r="P400" t="str">
        <f t="shared" si="32"/>
        <v>High</v>
      </c>
      <c r="Q400" t="str">
        <f t="shared" si="33"/>
        <v>Bad</v>
      </c>
      <c r="R400" t="str">
        <f t="shared" si="34"/>
        <v>Medium</v>
      </c>
    </row>
    <row r="401" spans="1:18" x14ac:dyDescent="0.45">
      <c r="A401">
        <v>400</v>
      </c>
      <c r="B401">
        <v>22</v>
      </c>
      <c r="C401" t="s">
        <v>19</v>
      </c>
      <c r="D401" t="s">
        <v>20</v>
      </c>
      <c r="E401" t="s">
        <v>31</v>
      </c>
      <c r="F401">
        <v>4.5999999999999996</v>
      </c>
      <c r="G401" t="s">
        <v>26</v>
      </c>
      <c r="H401" t="s">
        <v>17</v>
      </c>
      <c r="I401">
        <v>7.6</v>
      </c>
      <c r="J401">
        <v>6</v>
      </c>
      <c r="K401" t="s">
        <v>24</v>
      </c>
      <c r="L401">
        <v>3</v>
      </c>
      <c r="M401">
        <v>7</v>
      </c>
      <c r="N401" t="str">
        <f t="shared" si="30"/>
        <v>Medium</v>
      </c>
      <c r="O401" t="str">
        <f t="shared" si="31"/>
        <v>Average</v>
      </c>
      <c r="P401" t="str">
        <f t="shared" si="32"/>
        <v>High</v>
      </c>
      <c r="Q401" t="str">
        <f t="shared" si="33"/>
        <v>Bad</v>
      </c>
      <c r="R401" t="str">
        <f t="shared" si="34"/>
        <v>High</v>
      </c>
    </row>
    <row r="402" spans="1:18" x14ac:dyDescent="0.45">
      <c r="A402">
        <v>401</v>
      </c>
      <c r="B402">
        <v>19</v>
      </c>
      <c r="C402" t="s">
        <v>13</v>
      </c>
      <c r="D402" t="s">
        <v>14</v>
      </c>
      <c r="E402" t="s">
        <v>41</v>
      </c>
      <c r="F402">
        <v>4.4000000000000004</v>
      </c>
      <c r="G402" t="s">
        <v>16</v>
      </c>
      <c r="H402" t="s">
        <v>17</v>
      </c>
      <c r="I402">
        <v>7.5</v>
      </c>
      <c r="J402">
        <v>6</v>
      </c>
      <c r="K402" t="s">
        <v>24</v>
      </c>
      <c r="L402">
        <v>3</v>
      </c>
      <c r="M402">
        <v>7</v>
      </c>
      <c r="N402" t="str">
        <f t="shared" si="30"/>
        <v>Medium</v>
      </c>
      <c r="O402" t="str">
        <f t="shared" si="31"/>
        <v>High</v>
      </c>
      <c r="P402" t="str">
        <f t="shared" si="32"/>
        <v>High</v>
      </c>
      <c r="Q402" t="str">
        <f t="shared" si="33"/>
        <v>Bad</v>
      </c>
      <c r="R402" t="str">
        <f t="shared" si="34"/>
        <v>High</v>
      </c>
    </row>
    <row r="403" spans="1:18" x14ac:dyDescent="0.45">
      <c r="A403">
        <v>402</v>
      </c>
      <c r="B403">
        <v>21</v>
      </c>
      <c r="C403" t="s">
        <v>19</v>
      </c>
      <c r="D403" t="s">
        <v>20</v>
      </c>
      <c r="E403" t="s">
        <v>48</v>
      </c>
      <c r="F403">
        <v>3.2</v>
      </c>
      <c r="G403" t="s">
        <v>32</v>
      </c>
      <c r="H403" t="s">
        <v>23</v>
      </c>
      <c r="I403">
        <v>8.6</v>
      </c>
      <c r="J403">
        <v>8</v>
      </c>
      <c r="K403" t="s">
        <v>18</v>
      </c>
      <c r="L403">
        <v>2</v>
      </c>
      <c r="M403">
        <v>4</v>
      </c>
      <c r="N403" t="str">
        <f t="shared" si="30"/>
        <v>Low</v>
      </c>
      <c r="O403" t="str">
        <f t="shared" si="31"/>
        <v>High</v>
      </c>
      <c r="P403" t="str">
        <f t="shared" si="32"/>
        <v>High</v>
      </c>
      <c r="Q403" t="str">
        <f t="shared" si="33"/>
        <v>Good</v>
      </c>
      <c r="R403" t="str">
        <f t="shared" si="34"/>
        <v>Medium</v>
      </c>
    </row>
    <row r="404" spans="1:18" x14ac:dyDescent="0.45">
      <c r="A404">
        <v>403</v>
      </c>
      <c r="B404">
        <v>20</v>
      </c>
      <c r="C404" t="s">
        <v>13</v>
      </c>
      <c r="D404" t="s">
        <v>14</v>
      </c>
      <c r="E404" t="s">
        <v>55</v>
      </c>
      <c r="F404">
        <v>4.0999999999999996</v>
      </c>
      <c r="G404" t="s">
        <v>26</v>
      </c>
      <c r="H404" t="s">
        <v>17</v>
      </c>
      <c r="I404">
        <v>7.8</v>
      </c>
      <c r="J404">
        <v>7</v>
      </c>
      <c r="K404" t="s">
        <v>24</v>
      </c>
      <c r="L404">
        <v>3</v>
      </c>
      <c r="M404">
        <v>6</v>
      </c>
      <c r="N404" t="str">
        <f t="shared" si="30"/>
        <v>Medium</v>
      </c>
      <c r="O404" t="str">
        <f t="shared" si="31"/>
        <v>Less</v>
      </c>
      <c r="P404" t="str">
        <f t="shared" si="32"/>
        <v>High</v>
      </c>
      <c r="Q404" t="str">
        <f t="shared" si="33"/>
        <v>Bad</v>
      </c>
      <c r="R404" t="str">
        <f t="shared" si="34"/>
        <v>Medium</v>
      </c>
    </row>
    <row r="405" spans="1:18" x14ac:dyDescent="0.45">
      <c r="A405">
        <v>404</v>
      </c>
      <c r="B405">
        <v>22</v>
      </c>
      <c r="C405" t="s">
        <v>19</v>
      </c>
      <c r="D405" t="s">
        <v>20</v>
      </c>
      <c r="E405" t="s">
        <v>21</v>
      </c>
      <c r="F405">
        <v>6.6</v>
      </c>
      <c r="G405" t="s">
        <v>143</v>
      </c>
      <c r="H405" t="s">
        <v>17</v>
      </c>
      <c r="I405">
        <v>5.7</v>
      </c>
      <c r="J405">
        <v>5</v>
      </c>
      <c r="K405" t="s">
        <v>18</v>
      </c>
      <c r="L405">
        <v>4</v>
      </c>
      <c r="M405">
        <v>8</v>
      </c>
      <c r="N405" t="str">
        <f t="shared" si="30"/>
        <v>High</v>
      </c>
      <c r="O405" t="str">
        <f t="shared" si="31"/>
        <v>Average</v>
      </c>
      <c r="P405" t="str">
        <f t="shared" si="32"/>
        <v>Average</v>
      </c>
      <c r="Q405" t="str">
        <f t="shared" si="33"/>
        <v>Bad</v>
      </c>
      <c r="R405" t="str">
        <f t="shared" si="34"/>
        <v>High</v>
      </c>
    </row>
    <row r="406" spans="1:18" x14ac:dyDescent="0.45">
      <c r="A406">
        <v>405</v>
      </c>
      <c r="B406">
        <v>19</v>
      </c>
      <c r="C406" t="s">
        <v>13</v>
      </c>
      <c r="D406" t="s">
        <v>14</v>
      </c>
      <c r="E406" t="s">
        <v>51</v>
      </c>
      <c r="F406">
        <v>3.1</v>
      </c>
      <c r="G406" t="s">
        <v>16</v>
      </c>
      <c r="H406" t="s">
        <v>23</v>
      </c>
      <c r="I406">
        <v>8.6999999999999993</v>
      </c>
      <c r="J406">
        <v>8</v>
      </c>
      <c r="K406" t="s">
        <v>24</v>
      </c>
      <c r="L406">
        <v>2</v>
      </c>
      <c r="M406">
        <v>4</v>
      </c>
      <c r="N406" t="str">
        <f t="shared" si="30"/>
        <v>Low</v>
      </c>
      <c r="O406" t="str">
        <f t="shared" si="31"/>
        <v>High</v>
      </c>
      <c r="P406" t="str">
        <f t="shared" si="32"/>
        <v>High</v>
      </c>
      <c r="Q406" t="str">
        <f t="shared" si="33"/>
        <v>Good</v>
      </c>
      <c r="R406" t="str">
        <f t="shared" si="34"/>
        <v>Medium</v>
      </c>
    </row>
    <row r="407" spans="1:18" x14ac:dyDescent="0.45">
      <c r="A407">
        <v>406</v>
      </c>
      <c r="B407">
        <v>21</v>
      </c>
      <c r="C407" t="s">
        <v>19</v>
      </c>
      <c r="D407" t="s">
        <v>20</v>
      </c>
      <c r="E407" t="s">
        <v>65</v>
      </c>
      <c r="F407">
        <v>4.7</v>
      </c>
      <c r="G407" t="s">
        <v>16</v>
      </c>
      <c r="H407" t="s">
        <v>17</v>
      </c>
      <c r="I407">
        <v>7.5</v>
      </c>
      <c r="J407">
        <v>6</v>
      </c>
      <c r="K407" t="s">
        <v>24</v>
      </c>
      <c r="L407">
        <v>3</v>
      </c>
      <c r="M407">
        <v>7</v>
      </c>
      <c r="N407" t="str">
        <f t="shared" si="30"/>
        <v>Medium</v>
      </c>
      <c r="O407" t="str">
        <f t="shared" si="31"/>
        <v>High</v>
      </c>
      <c r="P407" t="str">
        <f t="shared" si="32"/>
        <v>High</v>
      </c>
      <c r="Q407" t="str">
        <f t="shared" si="33"/>
        <v>Bad</v>
      </c>
      <c r="R407" t="str">
        <f t="shared" si="34"/>
        <v>High</v>
      </c>
    </row>
    <row r="408" spans="1:18" x14ac:dyDescent="0.45">
      <c r="A408">
        <v>407</v>
      </c>
      <c r="B408">
        <v>20</v>
      </c>
      <c r="C408" t="s">
        <v>13</v>
      </c>
      <c r="D408" t="s">
        <v>14</v>
      </c>
      <c r="E408" t="s">
        <v>25</v>
      </c>
      <c r="F408">
        <v>7.6</v>
      </c>
      <c r="G408" t="s">
        <v>26</v>
      </c>
      <c r="H408" t="s">
        <v>17</v>
      </c>
      <c r="I408">
        <v>4.7</v>
      </c>
      <c r="J408">
        <v>5</v>
      </c>
      <c r="K408" t="s">
        <v>18</v>
      </c>
      <c r="L408">
        <v>4</v>
      </c>
      <c r="M408">
        <v>9</v>
      </c>
      <c r="N408" t="str">
        <f t="shared" si="30"/>
        <v>High</v>
      </c>
      <c r="O408" t="str">
        <f t="shared" si="31"/>
        <v>High</v>
      </c>
      <c r="P408" t="str">
        <f t="shared" si="32"/>
        <v>Less</v>
      </c>
      <c r="Q408" t="str">
        <f t="shared" si="33"/>
        <v>Bad</v>
      </c>
      <c r="R408" t="str">
        <f t="shared" si="34"/>
        <v>High</v>
      </c>
    </row>
    <row r="409" spans="1:18" x14ac:dyDescent="0.45">
      <c r="A409">
        <v>408</v>
      </c>
      <c r="B409">
        <v>22</v>
      </c>
      <c r="C409" t="s">
        <v>19</v>
      </c>
      <c r="D409" t="s">
        <v>20</v>
      </c>
      <c r="E409" t="s">
        <v>43</v>
      </c>
      <c r="F409">
        <v>6.4</v>
      </c>
      <c r="G409" t="s">
        <v>143</v>
      </c>
      <c r="H409" t="s">
        <v>17</v>
      </c>
      <c r="I409">
        <v>5.8</v>
      </c>
      <c r="J409">
        <v>6</v>
      </c>
      <c r="K409" t="s">
        <v>24</v>
      </c>
      <c r="L409">
        <v>3</v>
      </c>
      <c r="M409">
        <v>7</v>
      </c>
      <c r="N409" t="str">
        <f t="shared" si="30"/>
        <v>Medium</v>
      </c>
      <c r="O409" t="str">
        <f t="shared" si="31"/>
        <v>High</v>
      </c>
      <c r="P409" t="str">
        <f t="shared" si="32"/>
        <v>Average</v>
      </c>
      <c r="Q409" t="str">
        <f t="shared" si="33"/>
        <v>Bad</v>
      </c>
      <c r="R409" t="str">
        <f t="shared" si="34"/>
        <v>High</v>
      </c>
    </row>
    <row r="410" spans="1:18" x14ac:dyDescent="0.45">
      <c r="A410">
        <v>409</v>
      </c>
      <c r="B410">
        <v>19</v>
      </c>
      <c r="C410" t="s">
        <v>13</v>
      </c>
      <c r="D410" t="s">
        <v>14</v>
      </c>
      <c r="E410" t="s">
        <v>40</v>
      </c>
      <c r="F410">
        <v>3.7</v>
      </c>
      <c r="G410" t="s">
        <v>16</v>
      </c>
      <c r="H410" t="s">
        <v>23</v>
      </c>
      <c r="I410">
        <v>8.3000000000000007</v>
      </c>
      <c r="J410">
        <v>7</v>
      </c>
      <c r="K410" t="s">
        <v>18</v>
      </c>
      <c r="L410">
        <v>2</v>
      </c>
      <c r="M410">
        <v>5</v>
      </c>
      <c r="N410" t="str">
        <f t="shared" si="30"/>
        <v>Medium</v>
      </c>
      <c r="O410" t="str">
        <f t="shared" si="31"/>
        <v>High</v>
      </c>
      <c r="P410" t="str">
        <f t="shared" si="32"/>
        <v>High</v>
      </c>
      <c r="Q410" t="str">
        <f t="shared" si="33"/>
        <v>Bad</v>
      </c>
      <c r="R410" t="str">
        <f t="shared" si="34"/>
        <v>Medium</v>
      </c>
    </row>
    <row r="411" spans="1:18" x14ac:dyDescent="0.45">
      <c r="A411">
        <v>410</v>
      </c>
      <c r="B411">
        <v>21</v>
      </c>
      <c r="C411" t="s">
        <v>19</v>
      </c>
      <c r="D411" t="s">
        <v>20</v>
      </c>
      <c r="E411" t="s">
        <v>31</v>
      </c>
      <c r="F411">
        <v>4.5</v>
      </c>
      <c r="G411" t="s">
        <v>16</v>
      </c>
      <c r="H411" t="s">
        <v>17</v>
      </c>
      <c r="I411">
        <v>7.7</v>
      </c>
      <c r="J411">
        <v>6</v>
      </c>
      <c r="K411" t="s">
        <v>24</v>
      </c>
      <c r="L411">
        <v>3</v>
      </c>
      <c r="M411">
        <v>7</v>
      </c>
      <c r="N411" t="str">
        <f t="shared" si="30"/>
        <v>Medium</v>
      </c>
      <c r="O411" t="str">
        <f t="shared" si="31"/>
        <v>Average</v>
      </c>
      <c r="P411" t="str">
        <f t="shared" si="32"/>
        <v>High</v>
      </c>
      <c r="Q411" t="str">
        <f t="shared" si="33"/>
        <v>Bad</v>
      </c>
      <c r="R411" t="str">
        <f t="shared" si="34"/>
        <v>High</v>
      </c>
    </row>
    <row r="412" spans="1:18" x14ac:dyDescent="0.45">
      <c r="A412">
        <v>411</v>
      </c>
      <c r="B412">
        <v>20</v>
      </c>
      <c r="C412" t="s">
        <v>13</v>
      </c>
      <c r="D412" t="s">
        <v>14</v>
      </c>
      <c r="E412" t="s">
        <v>41</v>
      </c>
      <c r="F412">
        <v>4.3</v>
      </c>
      <c r="G412" t="s">
        <v>26</v>
      </c>
      <c r="H412" t="s">
        <v>17</v>
      </c>
      <c r="I412">
        <v>7.6</v>
      </c>
      <c r="J412">
        <v>6</v>
      </c>
      <c r="K412" t="s">
        <v>24</v>
      </c>
      <c r="L412">
        <v>3</v>
      </c>
      <c r="M412">
        <v>7</v>
      </c>
      <c r="N412" t="str">
        <f t="shared" si="30"/>
        <v>Medium</v>
      </c>
      <c r="O412" t="str">
        <f t="shared" si="31"/>
        <v>High</v>
      </c>
      <c r="P412" t="str">
        <f t="shared" si="32"/>
        <v>High</v>
      </c>
      <c r="Q412" t="str">
        <f t="shared" si="33"/>
        <v>Bad</v>
      </c>
      <c r="R412" t="str">
        <f t="shared" si="34"/>
        <v>High</v>
      </c>
    </row>
    <row r="413" spans="1:18" x14ac:dyDescent="0.45">
      <c r="A413">
        <v>412</v>
      </c>
      <c r="B413">
        <v>22</v>
      </c>
      <c r="C413" t="s">
        <v>19</v>
      </c>
      <c r="D413" t="s">
        <v>20</v>
      </c>
      <c r="E413" t="s">
        <v>48</v>
      </c>
      <c r="F413">
        <v>3.1</v>
      </c>
      <c r="G413" t="s">
        <v>32</v>
      </c>
      <c r="H413" t="s">
        <v>23</v>
      </c>
      <c r="I413">
        <v>8.6999999999999993</v>
      </c>
      <c r="J413">
        <v>8</v>
      </c>
      <c r="K413" t="s">
        <v>18</v>
      </c>
      <c r="L413">
        <v>2</v>
      </c>
      <c r="M413">
        <v>4</v>
      </c>
      <c r="N413" t="str">
        <f t="shared" si="30"/>
        <v>Low</v>
      </c>
      <c r="O413" t="str">
        <f t="shared" si="31"/>
        <v>High</v>
      </c>
      <c r="P413" t="str">
        <f t="shared" si="32"/>
        <v>High</v>
      </c>
      <c r="Q413" t="str">
        <f t="shared" si="33"/>
        <v>Good</v>
      </c>
      <c r="R413" t="str">
        <f t="shared" si="34"/>
        <v>Medium</v>
      </c>
    </row>
    <row r="414" spans="1:18" x14ac:dyDescent="0.45">
      <c r="A414">
        <v>413</v>
      </c>
      <c r="B414">
        <v>19</v>
      </c>
      <c r="C414" t="s">
        <v>13</v>
      </c>
      <c r="D414" t="s">
        <v>14</v>
      </c>
      <c r="E414" t="s">
        <v>55</v>
      </c>
      <c r="F414">
        <v>4</v>
      </c>
      <c r="G414" t="s">
        <v>16</v>
      </c>
      <c r="H414" t="s">
        <v>17</v>
      </c>
      <c r="I414">
        <v>7.9</v>
      </c>
      <c r="J414">
        <v>7</v>
      </c>
      <c r="K414" t="s">
        <v>24</v>
      </c>
      <c r="L414">
        <v>3</v>
      </c>
      <c r="M414">
        <v>6</v>
      </c>
      <c r="N414" t="str">
        <f t="shared" si="30"/>
        <v>Medium</v>
      </c>
      <c r="O414" t="str">
        <f t="shared" si="31"/>
        <v>Less</v>
      </c>
      <c r="P414" t="str">
        <f t="shared" si="32"/>
        <v>High</v>
      </c>
      <c r="Q414" t="str">
        <f t="shared" si="33"/>
        <v>Bad</v>
      </c>
      <c r="R414" t="str">
        <f t="shared" si="34"/>
        <v>Medium</v>
      </c>
    </row>
    <row r="415" spans="1:18" x14ac:dyDescent="0.45">
      <c r="A415">
        <v>414</v>
      </c>
      <c r="B415">
        <v>21</v>
      </c>
      <c r="C415" t="s">
        <v>19</v>
      </c>
      <c r="D415" t="s">
        <v>20</v>
      </c>
      <c r="E415" t="s">
        <v>21</v>
      </c>
      <c r="F415">
        <v>6.7</v>
      </c>
      <c r="G415" t="s">
        <v>143</v>
      </c>
      <c r="H415" t="s">
        <v>17</v>
      </c>
      <c r="I415">
        <v>5.6</v>
      </c>
      <c r="J415">
        <v>5</v>
      </c>
      <c r="K415" t="s">
        <v>18</v>
      </c>
      <c r="L415">
        <v>4</v>
      </c>
      <c r="M415">
        <v>8</v>
      </c>
      <c r="N415" t="str">
        <f t="shared" si="30"/>
        <v>High</v>
      </c>
      <c r="O415" t="str">
        <f t="shared" si="31"/>
        <v>Average</v>
      </c>
      <c r="P415" t="str">
        <f t="shared" si="32"/>
        <v>Average</v>
      </c>
      <c r="Q415" t="str">
        <f t="shared" si="33"/>
        <v>Bad</v>
      </c>
      <c r="R415" t="str">
        <f t="shared" si="34"/>
        <v>High</v>
      </c>
    </row>
    <row r="416" spans="1:18" x14ac:dyDescent="0.45">
      <c r="A416">
        <v>415</v>
      </c>
      <c r="B416">
        <v>20</v>
      </c>
      <c r="C416" t="s">
        <v>13</v>
      </c>
      <c r="D416" t="s">
        <v>14</v>
      </c>
      <c r="E416" t="s">
        <v>51</v>
      </c>
      <c r="F416">
        <v>3</v>
      </c>
      <c r="G416" t="s">
        <v>16</v>
      </c>
      <c r="H416" t="s">
        <v>23</v>
      </c>
      <c r="I416">
        <v>8.8000000000000007</v>
      </c>
      <c r="J416">
        <v>8</v>
      </c>
      <c r="K416" t="s">
        <v>24</v>
      </c>
      <c r="L416">
        <v>2</v>
      </c>
      <c r="M416">
        <v>4</v>
      </c>
      <c r="N416" t="str">
        <f t="shared" si="30"/>
        <v>Low</v>
      </c>
      <c r="O416" t="str">
        <f t="shared" si="31"/>
        <v>High</v>
      </c>
      <c r="P416" t="str">
        <f t="shared" si="32"/>
        <v>High</v>
      </c>
      <c r="Q416" t="str">
        <f t="shared" si="33"/>
        <v>Good</v>
      </c>
      <c r="R416" t="str">
        <f t="shared" si="34"/>
        <v>Medium</v>
      </c>
    </row>
    <row r="417" spans="1:18" x14ac:dyDescent="0.45">
      <c r="A417">
        <v>416</v>
      </c>
      <c r="B417">
        <v>22</v>
      </c>
      <c r="C417" t="s">
        <v>19</v>
      </c>
      <c r="D417" t="s">
        <v>20</v>
      </c>
      <c r="E417" t="s">
        <v>65</v>
      </c>
      <c r="F417">
        <v>4.5999999999999996</v>
      </c>
      <c r="G417" t="s">
        <v>26</v>
      </c>
      <c r="H417" t="s">
        <v>17</v>
      </c>
      <c r="I417">
        <v>7.6</v>
      </c>
      <c r="J417">
        <v>6</v>
      </c>
      <c r="K417" t="s">
        <v>24</v>
      </c>
      <c r="L417">
        <v>3</v>
      </c>
      <c r="M417">
        <v>7</v>
      </c>
      <c r="N417" t="str">
        <f t="shared" si="30"/>
        <v>Medium</v>
      </c>
      <c r="O417" t="str">
        <f t="shared" si="31"/>
        <v>High</v>
      </c>
      <c r="P417" t="str">
        <f t="shared" si="32"/>
        <v>High</v>
      </c>
      <c r="Q417" t="str">
        <f t="shared" si="33"/>
        <v>Bad</v>
      </c>
      <c r="R417" t="str">
        <f t="shared" si="34"/>
        <v>High</v>
      </c>
    </row>
    <row r="418" spans="1:18" x14ac:dyDescent="0.45">
      <c r="A418">
        <v>417</v>
      </c>
      <c r="B418">
        <v>19</v>
      </c>
      <c r="C418" t="s">
        <v>13</v>
      </c>
      <c r="D418" t="s">
        <v>14</v>
      </c>
      <c r="E418" t="s">
        <v>25</v>
      </c>
      <c r="F418">
        <v>7.7</v>
      </c>
      <c r="G418" t="s">
        <v>16</v>
      </c>
      <c r="H418" t="s">
        <v>17</v>
      </c>
      <c r="I418">
        <v>4.5999999999999996</v>
      </c>
      <c r="J418">
        <v>5</v>
      </c>
      <c r="K418" t="s">
        <v>18</v>
      </c>
      <c r="L418">
        <v>4</v>
      </c>
      <c r="M418">
        <v>9</v>
      </c>
      <c r="N418" t="str">
        <f t="shared" si="30"/>
        <v>High</v>
      </c>
      <c r="O418" t="str">
        <f t="shared" si="31"/>
        <v>High</v>
      </c>
      <c r="P418" t="str">
        <f t="shared" si="32"/>
        <v>Less</v>
      </c>
      <c r="Q418" t="str">
        <f t="shared" si="33"/>
        <v>Bad</v>
      </c>
      <c r="R418" t="str">
        <f t="shared" si="34"/>
        <v>High</v>
      </c>
    </row>
    <row r="419" spans="1:18" x14ac:dyDescent="0.45">
      <c r="A419">
        <v>418</v>
      </c>
      <c r="B419">
        <v>21</v>
      </c>
      <c r="C419" t="s">
        <v>19</v>
      </c>
      <c r="D419" t="s">
        <v>20</v>
      </c>
      <c r="E419" t="s">
        <v>43</v>
      </c>
      <c r="F419">
        <v>6.5</v>
      </c>
      <c r="G419" t="s">
        <v>143</v>
      </c>
      <c r="H419" t="s">
        <v>17</v>
      </c>
      <c r="I419">
        <v>5.7</v>
      </c>
      <c r="J419">
        <v>6</v>
      </c>
      <c r="K419" t="s">
        <v>24</v>
      </c>
      <c r="L419">
        <v>3</v>
      </c>
      <c r="M419">
        <v>7</v>
      </c>
      <c r="N419" t="str">
        <f t="shared" si="30"/>
        <v>Medium</v>
      </c>
      <c r="O419" t="str">
        <f t="shared" si="31"/>
        <v>High</v>
      </c>
      <c r="P419" t="str">
        <f t="shared" si="32"/>
        <v>Average</v>
      </c>
      <c r="Q419" t="str">
        <f t="shared" si="33"/>
        <v>Bad</v>
      </c>
      <c r="R419" t="str">
        <f t="shared" si="34"/>
        <v>High</v>
      </c>
    </row>
    <row r="420" spans="1:18" x14ac:dyDescent="0.45">
      <c r="A420">
        <v>419</v>
      </c>
      <c r="B420">
        <v>20</v>
      </c>
      <c r="C420" t="s">
        <v>13</v>
      </c>
      <c r="D420" t="s">
        <v>14</v>
      </c>
      <c r="E420" t="s">
        <v>40</v>
      </c>
      <c r="F420">
        <v>3.6</v>
      </c>
      <c r="G420" t="s">
        <v>16</v>
      </c>
      <c r="H420" t="s">
        <v>23</v>
      </c>
      <c r="I420">
        <v>8.4</v>
      </c>
      <c r="J420">
        <v>7</v>
      </c>
      <c r="K420" t="s">
        <v>18</v>
      </c>
      <c r="L420">
        <v>2</v>
      </c>
      <c r="M420">
        <v>5</v>
      </c>
      <c r="N420" t="str">
        <f t="shared" si="30"/>
        <v>Medium</v>
      </c>
      <c r="O420" t="str">
        <f t="shared" si="31"/>
        <v>High</v>
      </c>
      <c r="P420" t="str">
        <f t="shared" si="32"/>
        <v>High</v>
      </c>
      <c r="Q420" t="str">
        <f t="shared" si="33"/>
        <v>Bad</v>
      </c>
      <c r="R420" t="str">
        <f t="shared" si="34"/>
        <v>Medium</v>
      </c>
    </row>
    <row r="421" spans="1:18" x14ac:dyDescent="0.45">
      <c r="A421">
        <v>420</v>
      </c>
      <c r="B421">
        <v>22</v>
      </c>
      <c r="C421" t="s">
        <v>19</v>
      </c>
      <c r="D421" t="s">
        <v>20</v>
      </c>
      <c r="E421" t="s">
        <v>31</v>
      </c>
      <c r="F421">
        <v>4.4000000000000004</v>
      </c>
      <c r="G421" t="s">
        <v>26</v>
      </c>
      <c r="H421" t="s">
        <v>17</v>
      </c>
      <c r="I421">
        <v>7.8</v>
      </c>
      <c r="J421">
        <v>6</v>
      </c>
      <c r="K421" t="s">
        <v>24</v>
      </c>
      <c r="L421">
        <v>3</v>
      </c>
      <c r="M421">
        <v>7</v>
      </c>
      <c r="N421" t="str">
        <f t="shared" si="30"/>
        <v>Medium</v>
      </c>
      <c r="O421" t="str">
        <f t="shared" si="31"/>
        <v>Average</v>
      </c>
      <c r="P421" t="str">
        <f t="shared" si="32"/>
        <v>High</v>
      </c>
      <c r="Q421" t="str">
        <f t="shared" si="33"/>
        <v>Bad</v>
      </c>
      <c r="R421" t="str">
        <f t="shared" si="34"/>
        <v>High</v>
      </c>
    </row>
    <row r="422" spans="1:18" x14ac:dyDescent="0.45">
      <c r="A422">
        <v>421</v>
      </c>
      <c r="B422">
        <v>19</v>
      </c>
      <c r="C422" t="s">
        <v>13</v>
      </c>
      <c r="D422" t="s">
        <v>14</v>
      </c>
      <c r="E422" t="s">
        <v>41</v>
      </c>
      <c r="F422">
        <v>4.2</v>
      </c>
      <c r="G422" t="s">
        <v>16</v>
      </c>
      <c r="H422" t="s">
        <v>17</v>
      </c>
      <c r="I422">
        <v>7.7</v>
      </c>
      <c r="J422">
        <v>6</v>
      </c>
      <c r="K422" t="s">
        <v>24</v>
      </c>
      <c r="L422">
        <v>3</v>
      </c>
      <c r="M422">
        <v>7</v>
      </c>
      <c r="N422" t="str">
        <f t="shared" si="30"/>
        <v>Medium</v>
      </c>
      <c r="O422" t="str">
        <f t="shared" si="31"/>
        <v>High</v>
      </c>
      <c r="P422" t="str">
        <f t="shared" si="32"/>
        <v>High</v>
      </c>
      <c r="Q422" t="str">
        <f t="shared" si="33"/>
        <v>Bad</v>
      </c>
      <c r="R422" t="str">
        <f t="shared" si="34"/>
        <v>High</v>
      </c>
    </row>
    <row r="423" spans="1:18" x14ac:dyDescent="0.45">
      <c r="A423">
        <v>422</v>
      </c>
      <c r="B423">
        <v>21</v>
      </c>
      <c r="C423" t="s">
        <v>19</v>
      </c>
      <c r="D423" t="s">
        <v>20</v>
      </c>
      <c r="E423" t="s">
        <v>48</v>
      </c>
      <c r="F423">
        <v>3</v>
      </c>
      <c r="G423" t="s">
        <v>32</v>
      </c>
      <c r="H423" t="s">
        <v>23</v>
      </c>
      <c r="I423">
        <v>8.8000000000000007</v>
      </c>
      <c r="J423">
        <v>8</v>
      </c>
      <c r="K423" t="s">
        <v>18</v>
      </c>
      <c r="L423">
        <v>2</v>
      </c>
      <c r="M423">
        <v>4</v>
      </c>
      <c r="N423" t="str">
        <f t="shared" si="30"/>
        <v>Low</v>
      </c>
      <c r="O423" t="str">
        <f t="shared" si="31"/>
        <v>High</v>
      </c>
      <c r="P423" t="str">
        <f t="shared" si="32"/>
        <v>High</v>
      </c>
      <c r="Q423" t="str">
        <f t="shared" si="33"/>
        <v>Good</v>
      </c>
      <c r="R423" t="str">
        <f t="shared" si="34"/>
        <v>Medium</v>
      </c>
    </row>
    <row r="424" spans="1:18" x14ac:dyDescent="0.45">
      <c r="A424">
        <v>423</v>
      </c>
      <c r="B424">
        <v>20</v>
      </c>
      <c r="C424" t="s">
        <v>13</v>
      </c>
      <c r="D424" t="s">
        <v>14</v>
      </c>
      <c r="E424" t="s">
        <v>55</v>
      </c>
      <c r="F424">
        <v>3.9</v>
      </c>
      <c r="G424" t="s">
        <v>26</v>
      </c>
      <c r="H424" t="s">
        <v>17</v>
      </c>
      <c r="I424">
        <v>8</v>
      </c>
      <c r="J424">
        <v>7</v>
      </c>
      <c r="K424" t="s">
        <v>24</v>
      </c>
      <c r="L424">
        <v>3</v>
      </c>
      <c r="M424">
        <v>6</v>
      </c>
      <c r="N424" t="str">
        <f t="shared" si="30"/>
        <v>Medium</v>
      </c>
      <c r="O424" t="str">
        <f t="shared" si="31"/>
        <v>Less</v>
      </c>
      <c r="P424" t="str">
        <f t="shared" si="32"/>
        <v>High</v>
      </c>
      <c r="Q424" t="str">
        <f t="shared" si="33"/>
        <v>Bad</v>
      </c>
      <c r="R424" t="str">
        <f t="shared" si="34"/>
        <v>Medium</v>
      </c>
    </row>
    <row r="425" spans="1:18" x14ac:dyDescent="0.45">
      <c r="A425">
        <v>424</v>
      </c>
      <c r="B425">
        <v>22</v>
      </c>
      <c r="C425" t="s">
        <v>19</v>
      </c>
      <c r="D425" t="s">
        <v>20</v>
      </c>
      <c r="E425" t="s">
        <v>21</v>
      </c>
      <c r="F425">
        <v>6.8</v>
      </c>
      <c r="G425" t="s">
        <v>143</v>
      </c>
      <c r="H425" t="s">
        <v>17</v>
      </c>
      <c r="I425">
        <v>5.5</v>
      </c>
      <c r="J425">
        <v>5</v>
      </c>
      <c r="K425" t="s">
        <v>18</v>
      </c>
      <c r="L425">
        <v>4</v>
      </c>
      <c r="M425">
        <v>8</v>
      </c>
      <c r="N425" t="str">
        <f t="shared" si="30"/>
        <v>High</v>
      </c>
      <c r="O425" t="str">
        <f t="shared" si="31"/>
        <v>Average</v>
      </c>
      <c r="P425" t="str">
        <f t="shared" si="32"/>
        <v>Average</v>
      </c>
      <c r="Q425" t="str">
        <f t="shared" si="33"/>
        <v>Bad</v>
      </c>
      <c r="R425" t="str">
        <f t="shared" si="34"/>
        <v>High</v>
      </c>
    </row>
    <row r="426" spans="1:18" x14ac:dyDescent="0.45">
      <c r="A426">
        <v>425</v>
      </c>
      <c r="B426">
        <v>19</v>
      </c>
      <c r="C426" t="s">
        <v>13</v>
      </c>
      <c r="D426" t="s">
        <v>14</v>
      </c>
      <c r="E426" t="s">
        <v>51</v>
      </c>
      <c r="F426">
        <v>2.9</v>
      </c>
      <c r="G426" t="s">
        <v>16</v>
      </c>
      <c r="H426" t="s">
        <v>23</v>
      </c>
      <c r="I426">
        <v>8.9</v>
      </c>
      <c r="J426">
        <v>8</v>
      </c>
      <c r="K426" t="s">
        <v>24</v>
      </c>
      <c r="L426">
        <v>2</v>
      </c>
      <c r="M426">
        <v>4</v>
      </c>
      <c r="N426" t="str">
        <f t="shared" si="30"/>
        <v>Low</v>
      </c>
      <c r="O426" t="str">
        <f t="shared" si="31"/>
        <v>High</v>
      </c>
      <c r="P426" t="str">
        <f t="shared" si="32"/>
        <v>High</v>
      </c>
      <c r="Q426" t="str">
        <f t="shared" si="33"/>
        <v>Good</v>
      </c>
      <c r="R426" t="str">
        <f t="shared" si="34"/>
        <v>Medium</v>
      </c>
    </row>
    <row r="427" spans="1:18" x14ac:dyDescent="0.45">
      <c r="A427">
        <v>426</v>
      </c>
      <c r="B427">
        <v>21</v>
      </c>
      <c r="C427" t="s">
        <v>19</v>
      </c>
      <c r="D427" t="s">
        <v>20</v>
      </c>
      <c r="E427" t="s">
        <v>65</v>
      </c>
      <c r="F427">
        <v>4.5</v>
      </c>
      <c r="G427" t="s">
        <v>16</v>
      </c>
      <c r="H427" t="s">
        <v>17</v>
      </c>
      <c r="I427">
        <v>7.7</v>
      </c>
      <c r="J427">
        <v>6</v>
      </c>
      <c r="K427" t="s">
        <v>24</v>
      </c>
      <c r="L427">
        <v>3</v>
      </c>
      <c r="M427">
        <v>7</v>
      </c>
      <c r="N427" t="str">
        <f t="shared" si="30"/>
        <v>Medium</v>
      </c>
      <c r="O427" t="str">
        <f t="shared" si="31"/>
        <v>High</v>
      </c>
      <c r="P427" t="str">
        <f t="shared" si="32"/>
        <v>High</v>
      </c>
      <c r="Q427" t="str">
        <f t="shared" si="33"/>
        <v>Bad</v>
      </c>
      <c r="R427" t="str">
        <f t="shared" si="34"/>
        <v>High</v>
      </c>
    </row>
    <row r="428" spans="1:18" x14ac:dyDescent="0.45">
      <c r="A428">
        <v>427</v>
      </c>
      <c r="B428">
        <v>20</v>
      </c>
      <c r="C428" t="s">
        <v>13</v>
      </c>
      <c r="D428" t="s">
        <v>14</v>
      </c>
      <c r="E428" t="s">
        <v>25</v>
      </c>
      <c r="F428">
        <v>7.8</v>
      </c>
      <c r="G428" t="s">
        <v>26</v>
      </c>
      <c r="H428" t="s">
        <v>17</v>
      </c>
      <c r="I428">
        <v>4.5</v>
      </c>
      <c r="J428">
        <v>5</v>
      </c>
      <c r="K428" t="s">
        <v>18</v>
      </c>
      <c r="L428">
        <v>4</v>
      </c>
      <c r="M428">
        <v>9</v>
      </c>
      <c r="N428" t="str">
        <f t="shared" si="30"/>
        <v>High</v>
      </c>
      <c r="O428" t="str">
        <f t="shared" si="31"/>
        <v>High</v>
      </c>
      <c r="P428" t="str">
        <f t="shared" si="32"/>
        <v>Less</v>
      </c>
      <c r="Q428" t="str">
        <f t="shared" si="33"/>
        <v>Bad</v>
      </c>
      <c r="R428" t="str">
        <f t="shared" si="34"/>
        <v>High</v>
      </c>
    </row>
    <row r="429" spans="1:18" x14ac:dyDescent="0.45">
      <c r="A429">
        <v>428</v>
      </c>
      <c r="B429">
        <v>22</v>
      </c>
      <c r="C429" t="s">
        <v>19</v>
      </c>
      <c r="D429" t="s">
        <v>20</v>
      </c>
      <c r="E429" t="s">
        <v>43</v>
      </c>
      <c r="F429">
        <v>6.6</v>
      </c>
      <c r="G429" t="s">
        <v>143</v>
      </c>
      <c r="H429" t="s">
        <v>17</v>
      </c>
      <c r="I429">
        <v>5.6</v>
      </c>
      <c r="J429">
        <v>6</v>
      </c>
      <c r="K429" t="s">
        <v>24</v>
      </c>
      <c r="L429">
        <v>3</v>
      </c>
      <c r="M429">
        <v>7</v>
      </c>
      <c r="N429" t="str">
        <f t="shared" si="30"/>
        <v>High</v>
      </c>
      <c r="O429" t="str">
        <f t="shared" si="31"/>
        <v>High</v>
      </c>
      <c r="P429" t="str">
        <f t="shared" si="32"/>
        <v>Average</v>
      </c>
      <c r="Q429" t="str">
        <f t="shared" si="33"/>
        <v>Bad</v>
      </c>
      <c r="R429" t="str">
        <f t="shared" si="34"/>
        <v>High</v>
      </c>
    </row>
    <row r="430" spans="1:18" x14ac:dyDescent="0.45">
      <c r="A430">
        <v>429</v>
      </c>
      <c r="B430">
        <v>19</v>
      </c>
      <c r="C430" t="s">
        <v>13</v>
      </c>
      <c r="D430" t="s">
        <v>14</v>
      </c>
      <c r="E430" t="s">
        <v>40</v>
      </c>
      <c r="F430">
        <v>3.5</v>
      </c>
      <c r="G430" t="s">
        <v>16</v>
      </c>
      <c r="H430" t="s">
        <v>23</v>
      </c>
      <c r="I430">
        <v>8.5</v>
      </c>
      <c r="J430">
        <v>7</v>
      </c>
      <c r="K430" t="s">
        <v>18</v>
      </c>
      <c r="L430">
        <v>2</v>
      </c>
      <c r="M430">
        <v>5</v>
      </c>
      <c r="N430" t="str">
        <f t="shared" si="30"/>
        <v>Low</v>
      </c>
      <c r="O430" t="str">
        <f t="shared" si="31"/>
        <v>High</v>
      </c>
      <c r="P430" t="str">
        <f t="shared" si="32"/>
        <v>High</v>
      </c>
      <c r="Q430" t="str">
        <f t="shared" si="33"/>
        <v>Bad</v>
      </c>
      <c r="R430" t="str">
        <f t="shared" si="34"/>
        <v>Medium</v>
      </c>
    </row>
    <row r="431" spans="1:18" x14ac:dyDescent="0.45">
      <c r="A431">
        <v>430</v>
      </c>
      <c r="B431">
        <v>21</v>
      </c>
      <c r="C431" t="s">
        <v>19</v>
      </c>
      <c r="D431" t="s">
        <v>20</v>
      </c>
      <c r="E431" t="s">
        <v>31</v>
      </c>
      <c r="F431">
        <v>4.3</v>
      </c>
      <c r="G431" t="s">
        <v>16</v>
      </c>
      <c r="H431" t="s">
        <v>17</v>
      </c>
      <c r="I431">
        <v>7.9</v>
      </c>
      <c r="J431">
        <v>6</v>
      </c>
      <c r="K431" t="s">
        <v>24</v>
      </c>
      <c r="L431">
        <v>3</v>
      </c>
      <c r="M431">
        <v>7</v>
      </c>
      <c r="N431" t="str">
        <f t="shared" si="30"/>
        <v>Medium</v>
      </c>
      <c r="O431" t="str">
        <f t="shared" si="31"/>
        <v>Average</v>
      </c>
      <c r="P431" t="str">
        <f t="shared" si="32"/>
        <v>High</v>
      </c>
      <c r="Q431" t="str">
        <f t="shared" si="33"/>
        <v>Bad</v>
      </c>
      <c r="R431" t="str">
        <f t="shared" si="34"/>
        <v>High</v>
      </c>
    </row>
    <row r="432" spans="1:18" x14ac:dyDescent="0.45">
      <c r="A432">
        <v>431</v>
      </c>
      <c r="B432">
        <v>20</v>
      </c>
      <c r="C432" t="s">
        <v>13</v>
      </c>
      <c r="D432" t="s">
        <v>14</v>
      </c>
      <c r="E432" t="s">
        <v>41</v>
      </c>
      <c r="F432">
        <v>4.0999999999999996</v>
      </c>
      <c r="G432" t="s">
        <v>26</v>
      </c>
      <c r="H432" t="s">
        <v>17</v>
      </c>
      <c r="I432">
        <v>7.8</v>
      </c>
      <c r="J432">
        <v>6</v>
      </c>
      <c r="K432" t="s">
        <v>24</v>
      </c>
      <c r="L432">
        <v>3</v>
      </c>
      <c r="M432">
        <v>7</v>
      </c>
      <c r="N432" t="str">
        <f t="shared" si="30"/>
        <v>Medium</v>
      </c>
      <c r="O432" t="str">
        <f t="shared" si="31"/>
        <v>High</v>
      </c>
      <c r="P432" t="str">
        <f t="shared" si="32"/>
        <v>High</v>
      </c>
      <c r="Q432" t="str">
        <f t="shared" si="33"/>
        <v>Bad</v>
      </c>
      <c r="R432" t="str">
        <f t="shared" si="34"/>
        <v>High</v>
      </c>
    </row>
    <row r="433" spans="1:18" x14ac:dyDescent="0.45">
      <c r="A433">
        <v>432</v>
      </c>
      <c r="B433">
        <v>22</v>
      </c>
      <c r="C433" t="s">
        <v>19</v>
      </c>
      <c r="D433" t="s">
        <v>20</v>
      </c>
      <c r="E433" t="s">
        <v>48</v>
      </c>
      <c r="F433">
        <v>2.9</v>
      </c>
      <c r="G433" t="s">
        <v>32</v>
      </c>
      <c r="H433" t="s">
        <v>23</v>
      </c>
      <c r="I433">
        <v>8.9</v>
      </c>
      <c r="J433">
        <v>8</v>
      </c>
      <c r="K433" t="s">
        <v>18</v>
      </c>
      <c r="L433">
        <v>2</v>
      </c>
      <c r="M433">
        <v>4</v>
      </c>
      <c r="N433" t="str">
        <f t="shared" si="30"/>
        <v>Low</v>
      </c>
      <c r="O433" t="str">
        <f t="shared" si="31"/>
        <v>High</v>
      </c>
      <c r="P433" t="str">
        <f t="shared" si="32"/>
        <v>High</v>
      </c>
      <c r="Q433" t="str">
        <f t="shared" si="33"/>
        <v>Good</v>
      </c>
      <c r="R433" t="str">
        <f t="shared" si="34"/>
        <v>Medium</v>
      </c>
    </row>
    <row r="434" spans="1:18" x14ac:dyDescent="0.45">
      <c r="A434">
        <v>433</v>
      </c>
      <c r="B434">
        <v>19</v>
      </c>
      <c r="C434" t="s">
        <v>13</v>
      </c>
      <c r="D434" t="s">
        <v>14</v>
      </c>
      <c r="E434" t="s">
        <v>55</v>
      </c>
      <c r="F434">
        <v>3.8</v>
      </c>
      <c r="G434" t="s">
        <v>16</v>
      </c>
      <c r="H434" t="s">
        <v>17</v>
      </c>
      <c r="I434">
        <v>8.1</v>
      </c>
      <c r="J434">
        <v>7</v>
      </c>
      <c r="K434" t="s">
        <v>24</v>
      </c>
      <c r="L434">
        <v>3</v>
      </c>
      <c r="M434">
        <v>6</v>
      </c>
      <c r="N434" t="str">
        <f t="shared" si="30"/>
        <v>Medium</v>
      </c>
      <c r="O434" t="str">
        <f t="shared" si="31"/>
        <v>Less</v>
      </c>
      <c r="P434" t="str">
        <f t="shared" si="32"/>
        <v>High</v>
      </c>
      <c r="Q434" t="str">
        <f t="shared" si="33"/>
        <v>Bad</v>
      </c>
      <c r="R434" t="str">
        <f t="shared" si="34"/>
        <v>Medium</v>
      </c>
    </row>
    <row r="435" spans="1:18" x14ac:dyDescent="0.45">
      <c r="A435">
        <v>434</v>
      </c>
      <c r="B435">
        <v>21</v>
      </c>
      <c r="C435" t="s">
        <v>19</v>
      </c>
      <c r="D435" t="s">
        <v>20</v>
      </c>
      <c r="E435" t="s">
        <v>21</v>
      </c>
      <c r="F435">
        <v>6.9</v>
      </c>
      <c r="G435" t="s">
        <v>143</v>
      </c>
      <c r="H435" t="s">
        <v>17</v>
      </c>
      <c r="I435">
        <v>5.4</v>
      </c>
      <c r="J435">
        <v>5</v>
      </c>
      <c r="K435" t="s">
        <v>18</v>
      </c>
      <c r="L435">
        <v>4</v>
      </c>
      <c r="M435">
        <v>8</v>
      </c>
      <c r="N435" t="str">
        <f t="shared" si="30"/>
        <v>High</v>
      </c>
      <c r="O435" t="str">
        <f t="shared" si="31"/>
        <v>Average</v>
      </c>
      <c r="P435" t="str">
        <f t="shared" si="32"/>
        <v>Average</v>
      </c>
      <c r="Q435" t="str">
        <f t="shared" si="33"/>
        <v>Bad</v>
      </c>
      <c r="R435" t="str">
        <f t="shared" si="34"/>
        <v>High</v>
      </c>
    </row>
    <row r="436" spans="1:18" x14ac:dyDescent="0.45">
      <c r="A436">
        <v>435</v>
      </c>
      <c r="B436">
        <v>20</v>
      </c>
      <c r="C436" t="s">
        <v>13</v>
      </c>
      <c r="D436" t="s">
        <v>14</v>
      </c>
      <c r="E436" t="s">
        <v>51</v>
      </c>
      <c r="F436">
        <v>2.8</v>
      </c>
      <c r="G436" t="s">
        <v>16</v>
      </c>
      <c r="H436" t="s">
        <v>23</v>
      </c>
      <c r="I436">
        <v>9</v>
      </c>
      <c r="J436">
        <v>8</v>
      </c>
      <c r="K436" t="s">
        <v>24</v>
      </c>
      <c r="L436">
        <v>2</v>
      </c>
      <c r="M436">
        <v>4</v>
      </c>
      <c r="N436" t="str">
        <f t="shared" si="30"/>
        <v>Low</v>
      </c>
      <c r="O436" t="str">
        <f t="shared" si="31"/>
        <v>High</v>
      </c>
      <c r="P436" t="str">
        <f t="shared" si="32"/>
        <v>High</v>
      </c>
      <c r="Q436" t="str">
        <f t="shared" si="33"/>
        <v>Good</v>
      </c>
      <c r="R436" t="str">
        <f t="shared" si="34"/>
        <v>Medium</v>
      </c>
    </row>
    <row r="437" spans="1:18" x14ac:dyDescent="0.45">
      <c r="A437">
        <v>436</v>
      </c>
      <c r="B437">
        <v>22</v>
      </c>
      <c r="C437" t="s">
        <v>19</v>
      </c>
      <c r="D437" t="s">
        <v>20</v>
      </c>
      <c r="E437" t="s">
        <v>65</v>
      </c>
      <c r="F437">
        <v>4.4000000000000004</v>
      </c>
      <c r="G437" t="s">
        <v>26</v>
      </c>
      <c r="H437" t="s">
        <v>17</v>
      </c>
      <c r="I437">
        <v>7.8</v>
      </c>
      <c r="J437">
        <v>6</v>
      </c>
      <c r="K437" t="s">
        <v>24</v>
      </c>
      <c r="L437">
        <v>3</v>
      </c>
      <c r="M437">
        <v>7</v>
      </c>
      <c r="N437" t="str">
        <f t="shared" si="30"/>
        <v>Medium</v>
      </c>
      <c r="O437" t="str">
        <f t="shared" si="31"/>
        <v>High</v>
      </c>
      <c r="P437" t="str">
        <f t="shared" si="32"/>
        <v>High</v>
      </c>
      <c r="Q437" t="str">
        <f t="shared" si="33"/>
        <v>Bad</v>
      </c>
      <c r="R437" t="str">
        <f t="shared" si="34"/>
        <v>High</v>
      </c>
    </row>
    <row r="438" spans="1:18" x14ac:dyDescent="0.45">
      <c r="A438">
        <v>437</v>
      </c>
      <c r="B438">
        <v>19</v>
      </c>
      <c r="C438" t="s">
        <v>13</v>
      </c>
      <c r="D438" t="s">
        <v>14</v>
      </c>
      <c r="E438" t="s">
        <v>25</v>
      </c>
      <c r="F438">
        <v>7.9</v>
      </c>
      <c r="G438" t="s">
        <v>16</v>
      </c>
      <c r="H438" t="s">
        <v>17</v>
      </c>
      <c r="I438">
        <v>4.4000000000000004</v>
      </c>
      <c r="J438">
        <v>5</v>
      </c>
      <c r="K438" t="s">
        <v>18</v>
      </c>
      <c r="L438">
        <v>4</v>
      </c>
      <c r="M438">
        <v>9</v>
      </c>
      <c r="N438" t="str">
        <f t="shared" si="30"/>
        <v>High</v>
      </c>
      <c r="O438" t="str">
        <f t="shared" si="31"/>
        <v>High</v>
      </c>
      <c r="P438" t="str">
        <f t="shared" si="32"/>
        <v>Less</v>
      </c>
      <c r="Q438" t="str">
        <f t="shared" si="33"/>
        <v>Bad</v>
      </c>
      <c r="R438" t="str">
        <f t="shared" si="34"/>
        <v>High</v>
      </c>
    </row>
    <row r="439" spans="1:18" x14ac:dyDescent="0.45">
      <c r="A439">
        <v>438</v>
      </c>
      <c r="B439">
        <v>21</v>
      </c>
      <c r="C439" t="s">
        <v>19</v>
      </c>
      <c r="D439" t="s">
        <v>20</v>
      </c>
      <c r="E439" t="s">
        <v>43</v>
      </c>
      <c r="F439">
        <v>6.7</v>
      </c>
      <c r="G439" t="s">
        <v>143</v>
      </c>
      <c r="H439" t="s">
        <v>17</v>
      </c>
      <c r="I439">
        <v>5.5</v>
      </c>
      <c r="J439">
        <v>6</v>
      </c>
      <c r="K439" t="s">
        <v>24</v>
      </c>
      <c r="L439">
        <v>3</v>
      </c>
      <c r="M439">
        <v>7</v>
      </c>
      <c r="N439" t="str">
        <f t="shared" si="30"/>
        <v>High</v>
      </c>
      <c r="O439" t="str">
        <f t="shared" si="31"/>
        <v>High</v>
      </c>
      <c r="P439" t="str">
        <f t="shared" si="32"/>
        <v>Average</v>
      </c>
      <c r="Q439" t="str">
        <f t="shared" si="33"/>
        <v>Bad</v>
      </c>
      <c r="R439" t="str">
        <f t="shared" si="34"/>
        <v>High</v>
      </c>
    </row>
    <row r="440" spans="1:18" x14ac:dyDescent="0.45">
      <c r="A440">
        <v>439</v>
      </c>
      <c r="B440">
        <v>20</v>
      </c>
      <c r="C440" t="s">
        <v>13</v>
      </c>
      <c r="D440" t="s">
        <v>14</v>
      </c>
      <c r="E440" t="s">
        <v>40</v>
      </c>
      <c r="F440">
        <v>3.4</v>
      </c>
      <c r="G440" t="s">
        <v>16</v>
      </c>
      <c r="H440" t="s">
        <v>23</v>
      </c>
      <c r="I440">
        <v>8.6</v>
      </c>
      <c r="J440">
        <v>7</v>
      </c>
      <c r="K440" t="s">
        <v>18</v>
      </c>
      <c r="L440">
        <v>2</v>
      </c>
      <c r="M440">
        <v>5</v>
      </c>
      <c r="N440" t="str">
        <f t="shared" si="30"/>
        <v>Low</v>
      </c>
      <c r="O440" t="str">
        <f t="shared" si="31"/>
        <v>High</v>
      </c>
      <c r="P440" t="str">
        <f t="shared" si="32"/>
        <v>High</v>
      </c>
      <c r="Q440" t="str">
        <f t="shared" si="33"/>
        <v>Bad</v>
      </c>
      <c r="R440" t="str">
        <f t="shared" si="34"/>
        <v>Medium</v>
      </c>
    </row>
    <row r="441" spans="1:18" x14ac:dyDescent="0.45">
      <c r="A441">
        <v>440</v>
      </c>
      <c r="B441">
        <v>22</v>
      </c>
      <c r="C441" t="s">
        <v>19</v>
      </c>
      <c r="D441" t="s">
        <v>20</v>
      </c>
      <c r="E441" t="s">
        <v>31</v>
      </c>
      <c r="F441">
        <v>4.2</v>
      </c>
      <c r="G441" t="s">
        <v>26</v>
      </c>
      <c r="H441" t="s">
        <v>17</v>
      </c>
      <c r="I441">
        <v>8</v>
      </c>
      <c r="J441">
        <v>6</v>
      </c>
      <c r="K441" t="s">
        <v>24</v>
      </c>
      <c r="L441">
        <v>3</v>
      </c>
      <c r="M441">
        <v>7</v>
      </c>
      <c r="N441" t="str">
        <f t="shared" si="30"/>
        <v>Medium</v>
      </c>
      <c r="O441" t="str">
        <f t="shared" si="31"/>
        <v>Average</v>
      </c>
      <c r="P441" t="str">
        <f t="shared" si="32"/>
        <v>High</v>
      </c>
      <c r="Q441" t="str">
        <f t="shared" si="33"/>
        <v>Bad</v>
      </c>
      <c r="R441" t="str">
        <f t="shared" si="34"/>
        <v>High</v>
      </c>
    </row>
    <row r="442" spans="1:18" x14ac:dyDescent="0.45">
      <c r="A442">
        <v>441</v>
      </c>
      <c r="B442">
        <v>19</v>
      </c>
      <c r="C442" t="s">
        <v>13</v>
      </c>
      <c r="D442" t="s">
        <v>14</v>
      </c>
      <c r="E442" t="s">
        <v>41</v>
      </c>
      <c r="F442">
        <v>4</v>
      </c>
      <c r="G442" t="s">
        <v>16</v>
      </c>
      <c r="H442" t="s">
        <v>17</v>
      </c>
      <c r="I442">
        <v>7.9</v>
      </c>
      <c r="J442">
        <v>6</v>
      </c>
      <c r="K442" t="s">
        <v>24</v>
      </c>
      <c r="L442">
        <v>3</v>
      </c>
      <c r="M442">
        <v>7</v>
      </c>
      <c r="N442" t="str">
        <f t="shared" si="30"/>
        <v>Medium</v>
      </c>
      <c r="O442" t="str">
        <f t="shared" si="31"/>
        <v>High</v>
      </c>
      <c r="P442" t="str">
        <f t="shared" si="32"/>
        <v>High</v>
      </c>
      <c r="Q442" t="str">
        <f t="shared" si="33"/>
        <v>Bad</v>
      </c>
      <c r="R442" t="str">
        <f t="shared" si="34"/>
        <v>High</v>
      </c>
    </row>
    <row r="443" spans="1:18" x14ac:dyDescent="0.45">
      <c r="A443">
        <v>442</v>
      </c>
      <c r="B443">
        <v>21</v>
      </c>
      <c r="C443" t="s">
        <v>19</v>
      </c>
      <c r="D443" t="s">
        <v>20</v>
      </c>
      <c r="E443" t="s">
        <v>48</v>
      </c>
      <c r="F443">
        <v>2.8</v>
      </c>
      <c r="G443" t="s">
        <v>32</v>
      </c>
      <c r="H443" t="s">
        <v>23</v>
      </c>
      <c r="I443">
        <v>9</v>
      </c>
      <c r="J443">
        <v>8</v>
      </c>
      <c r="K443" t="s">
        <v>18</v>
      </c>
      <c r="L443">
        <v>2</v>
      </c>
      <c r="M443">
        <v>4</v>
      </c>
      <c r="N443" t="str">
        <f t="shared" si="30"/>
        <v>Low</v>
      </c>
      <c r="O443" t="str">
        <f t="shared" si="31"/>
        <v>High</v>
      </c>
      <c r="P443" t="str">
        <f t="shared" si="32"/>
        <v>High</v>
      </c>
      <c r="Q443" t="str">
        <f t="shared" si="33"/>
        <v>Good</v>
      </c>
      <c r="R443" t="str">
        <f t="shared" si="34"/>
        <v>Medium</v>
      </c>
    </row>
    <row r="444" spans="1:18" x14ac:dyDescent="0.45">
      <c r="A444">
        <v>443</v>
      </c>
      <c r="B444">
        <v>20</v>
      </c>
      <c r="C444" t="s">
        <v>13</v>
      </c>
      <c r="D444" t="s">
        <v>14</v>
      </c>
      <c r="E444" t="s">
        <v>55</v>
      </c>
      <c r="F444">
        <v>3.7</v>
      </c>
      <c r="G444" t="s">
        <v>26</v>
      </c>
      <c r="H444" t="s">
        <v>17</v>
      </c>
      <c r="I444">
        <v>8.1999999999999993</v>
      </c>
      <c r="J444">
        <v>7</v>
      </c>
      <c r="K444" t="s">
        <v>24</v>
      </c>
      <c r="L444">
        <v>3</v>
      </c>
      <c r="M444">
        <v>6</v>
      </c>
      <c r="N444" t="str">
        <f t="shared" si="30"/>
        <v>Medium</v>
      </c>
      <c r="O444" t="str">
        <f t="shared" si="31"/>
        <v>Less</v>
      </c>
      <c r="P444" t="str">
        <f t="shared" si="32"/>
        <v>High</v>
      </c>
      <c r="Q444" t="str">
        <f t="shared" si="33"/>
        <v>Bad</v>
      </c>
      <c r="R444" t="str">
        <f t="shared" si="34"/>
        <v>Medium</v>
      </c>
    </row>
    <row r="445" spans="1:18" x14ac:dyDescent="0.45">
      <c r="A445">
        <v>444</v>
      </c>
      <c r="B445">
        <v>22</v>
      </c>
      <c r="C445" t="s">
        <v>19</v>
      </c>
      <c r="D445" t="s">
        <v>20</v>
      </c>
      <c r="E445" t="s">
        <v>21</v>
      </c>
      <c r="F445">
        <v>7</v>
      </c>
      <c r="G445" t="s">
        <v>143</v>
      </c>
      <c r="H445" t="s">
        <v>17</v>
      </c>
      <c r="I445">
        <v>5.3</v>
      </c>
      <c r="J445">
        <v>5</v>
      </c>
      <c r="K445" t="s">
        <v>18</v>
      </c>
      <c r="L445">
        <v>4</v>
      </c>
      <c r="M445">
        <v>8</v>
      </c>
      <c r="N445" t="str">
        <f t="shared" si="30"/>
        <v>High</v>
      </c>
      <c r="O445" t="str">
        <f t="shared" si="31"/>
        <v>Average</v>
      </c>
      <c r="P445" t="str">
        <f t="shared" si="32"/>
        <v>Average</v>
      </c>
      <c r="Q445" t="str">
        <f t="shared" si="33"/>
        <v>Bad</v>
      </c>
      <c r="R445" t="str">
        <f t="shared" si="34"/>
        <v>High</v>
      </c>
    </row>
    <row r="446" spans="1:18" x14ac:dyDescent="0.45">
      <c r="A446">
        <v>445</v>
      </c>
      <c r="B446">
        <v>19</v>
      </c>
      <c r="C446" t="s">
        <v>13</v>
      </c>
      <c r="D446" t="s">
        <v>14</v>
      </c>
      <c r="E446" t="s">
        <v>51</v>
      </c>
      <c r="F446">
        <v>2.7</v>
      </c>
      <c r="G446" t="s">
        <v>16</v>
      </c>
      <c r="H446" t="s">
        <v>23</v>
      </c>
      <c r="I446">
        <v>9.1</v>
      </c>
      <c r="J446">
        <v>8</v>
      </c>
      <c r="K446" t="s">
        <v>24</v>
      </c>
      <c r="L446">
        <v>2</v>
      </c>
      <c r="M446">
        <v>4</v>
      </c>
      <c r="N446" t="str">
        <f t="shared" si="30"/>
        <v>Low</v>
      </c>
      <c r="O446" t="str">
        <f t="shared" si="31"/>
        <v>High</v>
      </c>
      <c r="P446" t="str">
        <f t="shared" si="32"/>
        <v>High</v>
      </c>
      <c r="Q446" t="str">
        <f t="shared" si="33"/>
        <v>Good</v>
      </c>
      <c r="R446" t="str">
        <f t="shared" si="34"/>
        <v>Medium</v>
      </c>
    </row>
    <row r="447" spans="1:18" x14ac:dyDescent="0.45">
      <c r="A447">
        <v>446</v>
      </c>
      <c r="B447">
        <v>21</v>
      </c>
      <c r="C447" t="s">
        <v>19</v>
      </c>
      <c r="D447" t="s">
        <v>20</v>
      </c>
      <c r="E447" t="s">
        <v>65</v>
      </c>
      <c r="F447">
        <v>4.3</v>
      </c>
      <c r="G447" t="s">
        <v>16</v>
      </c>
      <c r="H447" t="s">
        <v>17</v>
      </c>
      <c r="I447">
        <v>7.9</v>
      </c>
      <c r="J447">
        <v>6</v>
      </c>
      <c r="K447" t="s">
        <v>24</v>
      </c>
      <c r="L447">
        <v>3</v>
      </c>
      <c r="M447">
        <v>7</v>
      </c>
      <c r="N447" t="str">
        <f t="shared" si="30"/>
        <v>Medium</v>
      </c>
      <c r="O447" t="str">
        <f t="shared" si="31"/>
        <v>High</v>
      </c>
      <c r="P447" t="str">
        <f t="shared" si="32"/>
        <v>High</v>
      </c>
      <c r="Q447" t="str">
        <f t="shared" si="33"/>
        <v>Bad</v>
      </c>
      <c r="R447" t="str">
        <f t="shared" si="34"/>
        <v>High</v>
      </c>
    </row>
    <row r="448" spans="1:18" x14ac:dyDescent="0.45">
      <c r="A448">
        <v>447</v>
      </c>
      <c r="B448">
        <v>20</v>
      </c>
      <c r="C448" t="s">
        <v>13</v>
      </c>
      <c r="D448" t="s">
        <v>14</v>
      </c>
      <c r="E448" t="s">
        <v>25</v>
      </c>
      <c r="F448">
        <v>8</v>
      </c>
      <c r="G448" t="s">
        <v>26</v>
      </c>
      <c r="H448" t="s">
        <v>17</v>
      </c>
      <c r="I448">
        <v>4.3</v>
      </c>
      <c r="J448">
        <v>5</v>
      </c>
      <c r="K448" t="s">
        <v>18</v>
      </c>
      <c r="L448">
        <v>4</v>
      </c>
      <c r="M448">
        <v>9</v>
      </c>
      <c r="N448" t="str">
        <f t="shared" si="30"/>
        <v>High</v>
      </c>
      <c r="O448" t="str">
        <f t="shared" si="31"/>
        <v>High</v>
      </c>
      <c r="P448" t="str">
        <f t="shared" si="32"/>
        <v>Less</v>
      </c>
      <c r="Q448" t="str">
        <f t="shared" si="33"/>
        <v>Bad</v>
      </c>
      <c r="R448" t="str">
        <f t="shared" si="34"/>
        <v>High</v>
      </c>
    </row>
    <row r="449" spans="1:18" x14ac:dyDescent="0.45">
      <c r="A449">
        <v>448</v>
      </c>
      <c r="B449">
        <v>22</v>
      </c>
      <c r="C449" t="s">
        <v>19</v>
      </c>
      <c r="D449" t="s">
        <v>20</v>
      </c>
      <c r="E449" t="s">
        <v>43</v>
      </c>
      <c r="F449">
        <v>6.8</v>
      </c>
      <c r="G449" t="s">
        <v>143</v>
      </c>
      <c r="H449" t="s">
        <v>17</v>
      </c>
      <c r="I449">
        <v>5.4</v>
      </c>
      <c r="J449">
        <v>6</v>
      </c>
      <c r="K449" t="s">
        <v>24</v>
      </c>
      <c r="L449">
        <v>3</v>
      </c>
      <c r="M449">
        <v>7</v>
      </c>
      <c r="N449" t="str">
        <f t="shared" si="30"/>
        <v>High</v>
      </c>
      <c r="O449" t="str">
        <f t="shared" si="31"/>
        <v>High</v>
      </c>
      <c r="P449" t="str">
        <f t="shared" si="32"/>
        <v>Average</v>
      </c>
      <c r="Q449" t="str">
        <f t="shared" si="33"/>
        <v>Bad</v>
      </c>
      <c r="R449" t="str">
        <f t="shared" si="34"/>
        <v>High</v>
      </c>
    </row>
    <row r="450" spans="1:18" x14ac:dyDescent="0.45">
      <c r="A450">
        <v>449</v>
      </c>
      <c r="B450">
        <v>19</v>
      </c>
      <c r="C450" t="s">
        <v>13</v>
      </c>
      <c r="D450" t="s">
        <v>14</v>
      </c>
      <c r="E450" t="s">
        <v>40</v>
      </c>
      <c r="F450">
        <v>3.3</v>
      </c>
      <c r="G450" t="s">
        <v>16</v>
      </c>
      <c r="H450" t="s">
        <v>23</v>
      </c>
      <c r="I450">
        <v>8.6999999999999993</v>
      </c>
      <c r="J450">
        <v>7</v>
      </c>
      <c r="K450" t="s">
        <v>18</v>
      </c>
      <c r="L450">
        <v>2</v>
      </c>
      <c r="M450">
        <v>5</v>
      </c>
      <c r="N450" t="str">
        <f t="shared" si="30"/>
        <v>Low</v>
      </c>
      <c r="O450" t="str">
        <f t="shared" si="31"/>
        <v>High</v>
      </c>
      <c r="P450" t="str">
        <f t="shared" si="32"/>
        <v>High</v>
      </c>
      <c r="Q450" t="str">
        <f t="shared" si="33"/>
        <v>Bad</v>
      </c>
      <c r="R450" t="str">
        <f t="shared" si="34"/>
        <v>Medium</v>
      </c>
    </row>
    <row r="451" spans="1:18" x14ac:dyDescent="0.45">
      <c r="A451">
        <v>450</v>
      </c>
      <c r="B451">
        <v>21</v>
      </c>
      <c r="C451" t="s">
        <v>19</v>
      </c>
      <c r="D451" t="s">
        <v>20</v>
      </c>
      <c r="E451" t="s">
        <v>31</v>
      </c>
      <c r="F451">
        <v>4.0999999999999996</v>
      </c>
      <c r="G451" t="s">
        <v>16</v>
      </c>
      <c r="H451" t="s">
        <v>17</v>
      </c>
      <c r="I451">
        <v>8.1</v>
      </c>
      <c r="J451">
        <v>6</v>
      </c>
      <c r="K451" t="s">
        <v>24</v>
      </c>
      <c r="L451">
        <v>3</v>
      </c>
      <c r="M451">
        <v>7</v>
      </c>
      <c r="N451" t="str">
        <f t="shared" ref="N451:N514" si="35">IF(AND(F451&gt;=1.5,F451&lt;=3.5),"Low",IF(AND(F451&gt;3.5,F451&lt;=6.5),"Medium","High"))</f>
        <v>Medium</v>
      </c>
      <c r="O451" t="str">
        <f t="shared" ref="O451:O514" si="36">IF(AND(I465&gt;=3.8,I465&lt;=5),"Less",IF(AND(I465&gt;5,I465&lt;=7),"Average","High"))</f>
        <v>Average</v>
      </c>
      <c r="P451" t="str">
        <f t="shared" ref="P451:P514" si="37">IF(AND(I451&gt;=3.8,I451&lt;=5),"Less",IF(AND(I451&gt;5,I451&lt;=7),"Average","High"))</f>
        <v>High</v>
      </c>
      <c r="Q451" t="str">
        <f t="shared" si="33"/>
        <v>Bad</v>
      </c>
      <c r="R451" t="str">
        <f t="shared" si="34"/>
        <v>High</v>
      </c>
    </row>
    <row r="452" spans="1:18" x14ac:dyDescent="0.45">
      <c r="A452">
        <v>451</v>
      </c>
      <c r="B452">
        <v>20</v>
      </c>
      <c r="C452" t="s">
        <v>13</v>
      </c>
      <c r="D452" t="s">
        <v>14</v>
      </c>
      <c r="E452" t="s">
        <v>41</v>
      </c>
      <c r="F452">
        <v>3.9</v>
      </c>
      <c r="G452" t="s">
        <v>26</v>
      </c>
      <c r="H452" t="s">
        <v>17</v>
      </c>
      <c r="I452">
        <v>8</v>
      </c>
      <c r="J452">
        <v>6</v>
      </c>
      <c r="K452" t="s">
        <v>24</v>
      </c>
      <c r="L452">
        <v>3</v>
      </c>
      <c r="M452">
        <v>7</v>
      </c>
      <c r="N452" t="str">
        <f t="shared" si="35"/>
        <v>Medium</v>
      </c>
      <c r="O452" t="str">
        <f t="shared" si="36"/>
        <v>High</v>
      </c>
      <c r="P452" t="str">
        <f t="shared" si="37"/>
        <v>High</v>
      </c>
      <c r="Q452" t="str">
        <f t="shared" si="33"/>
        <v>Bad</v>
      </c>
      <c r="R452" t="str">
        <f t="shared" si="34"/>
        <v>High</v>
      </c>
    </row>
    <row r="453" spans="1:18" x14ac:dyDescent="0.45">
      <c r="A453">
        <v>452</v>
      </c>
      <c r="B453">
        <v>22</v>
      </c>
      <c r="C453" t="s">
        <v>19</v>
      </c>
      <c r="D453" t="s">
        <v>20</v>
      </c>
      <c r="E453" t="s">
        <v>48</v>
      </c>
      <c r="F453">
        <v>2.7</v>
      </c>
      <c r="G453" t="s">
        <v>32</v>
      </c>
      <c r="H453" t="s">
        <v>23</v>
      </c>
      <c r="I453">
        <v>9.1</v>
      </c>
      <c r="J453">
        <v>8</v>
      </c>
      <c r="K453" t="s">
        <v>18</v>
      </c>
      <c r="L453">
        <v>2</v>
      </c>
      <c r="M453">
        <v>4</v>
      </c>
      <c r="N453" t="str">
        <f t="shared" si="35"/>
        <v>Low</v>
      </c>
      <c r="O453" t="str">
        <f t="shared" si="36"/>
        <v>High</v>
      </c>
      <c r="P453" t="str">
        <f t="shared" si="37"/>
        <v>High</v>
      </c>
      <c r="Q453" t="str">
        <f t="shared" si="33"/>
        <v>Good</v>
      </c>
      <c r="R453" t="str">
        <f t="shared" si="34"/>
        <v>Medium</v>
      </c>
    </row>
    <row r="454" spans="1:18" x14ac:dyDescent="0.45">
      <c r="A454">
        <v>453</v>
      </c>
      <c r="B454">
        <v>19</v>
      </c>
      <c r="C454" t="s">
        <v>13</v>
      </c>
      <c r="D454" t="s">
        <v>14</v>
      </c>
      <c r="E454" t="s">
        <v>55</v>
      </c>
      <c r="F454">
        <v>3.6</v>
      </c>
      <c r="G454" t="s">
        <v>16</v>
      </c>
      <c r="H454" t="s">
        <v>17</v>
      </c>
      <c r="I454">
        <v>8.3000000000000007</v>
      </c>
      <c r="J454">
        <v>7</v>
      </c>
      <c r="K454" t="s">
        <v>24</v>
      </c>
      <c r="L454">
        <v>3</v>
      </c>
      <c r="M454">
        <v>6</v>
      </c>
      <c r="N454" t="str">
        <f t="shared" si="35"/>
        <v>Medium</v>
      </c>
      <c r="O454" t="str">
        <f t="shared" si="36"/>
        <v>Less</v>
      </c>
      <c r="P454" t="str">
        <f t="shared" si="37"/>
        <v>High</v>
      </c>
      <c r="Q454" t="str">
        <f t="shared" ref="Q454:Q517" si="38">IF(AND(J454&gt;=0,J454&lt;=4),"Worst",IF(AND(J454&gt;4,J454&lt;=7),"Bad","Good"))</f>
        <v>Bad</v>
      </c>
      <c r="R454" t="str">
        <f t="shared" ref="R454:R517" si="39">IF(AND(M454&gt;0,M454&lt;=3),"Less",IF(AND(M454&gt;3,M454&lt;=6),"Medium","High"))</f>
        <v>Medium</v>
      </c>
    </row>
    <row r="455" spans="1:18" x14ac:dyDescent="0.45">
      <c r="A455">
        <v>454</v>
      </c>
      <c r="B455">
        <v>21</v>
      </c>
      <c r="C455" t="s">
        <v>19</v>
      </c>
      <c r="D455" t="s">
        <v>20</v>
      </c>
      <c r="E455" t="s">
        <v>21</v>
      </c>
      <c r="F455">
        <v>7.1</v>
      </c>
      <c r="G455" t="s">
        <v>143</v>
      </c>
      <c r="H455" t="s">
        <v>17</v>
      </c>
      <c r="I455">
        <v>5.2</v>
      </c>
      <c r="J455">
        <v>5</v>
      </c>
      <c r="K455" t="s">
        <v>18</v>
      </c>
      <c r="L455">
        <v>4</v>
      </c>
      <c r="M455">
        <v>8</v>
      </c>
      <c r="N455" t="str">
        <f t="shared" si="35"/>
        <v>High</v>
      </c>
      <c r="O455" t="str">
        <f t="shared" si="36"/>
        <v>Average</v>
      </c>
      <c r="P455" t="str">
        <f t="shared" si="37"/>
        <v>Average</v>
      </c>
      <c r="Q455" t="str">
        <f t="shared" si="38"/>
        <v>Bad</v>
      </c>
      <c r="R455" t="str">
        <f t="shared" si="39"/>
        <v>High</v>
      </c>
    </row>
    <row r="456" spans="1:18" x14ac:dyDescent="0.45">
      <c r="A456">
        <v>455</v>
      </c>
      <c r="B456">
        <v>20</v>
      </c>
      <c r="C456" t="s">
        <v>13</v>
      </c>
      <c r="D456" t="s">
        <v>14</v>
      </c>
      <c r="E456" t="s">
        <v>51</v>
      </c>
      <c r="F456">
        <v>2.6</v>
      </c>
      <c r="G456" t="s">
        <v>16</v>
      </c>
      <c r="H456" t="s">
        <v>23</v>
      </c>
      <c r="I456">
        <v>9.1999999999999993</v>
      </c>
      <c r="J456">
        <v>8</v>
      </c>
      <c r="K456" t="s">
        <v>24</v>
      </c>
      <c r="L456">
        <v>2</v>
      </c>
      <c r="M456">
        <v>4</v>
      </c>
      <c r="N456" t="str">
        <f t="shared" si="35"/>
        <v>Low</v>
      </c>
      <c r="O456" t="str">
        <f t="shared" si="36"/>
        <v>High</v>
      </c>
      <c r="P456" t="str">
        <f t="shared" si="37"/>
        <v>High</v>
      </c>
      <c r="Q456" t="str">
        <f t="shared" si="38"/>
        <v>Good</v>
      </c>
      <c r="R456" t="str">
        <f t="shared" si="39"/>
        <v>Medium</v>
      </c>
    </row>
    <row r="457" spans="1:18" x14ac:dyDescent="0.45">
      <c r="A457">
        <v>456</v>
      </c>
      <c r="B457">
        <v>22</v>
      </c>
      <c r="C457" t="s">
        <v>19</v>
      </c>
      <c r="D457" t="s">
        <v>20</v>
      </c>
      <c r="E457" t="s">
        <v>65</v>
      </c>
      <c r="F457">
        <v>4.2</v>
      </c>
      <c r="G457" t="s">
        <v>26</v>
      </c>
      <c r="H457" t="s">
        <v>17</v>
      </c>
      <c r="I457">
        <v>8</v>
      </c>
      <c r="J457">
        <v>6</v>
      </c>
      <c r="K457" t="s">
        <v>24</v>
      </c>
      <c r="L457">
        <v>3</v>
      </c>
      <c r="M457">
        <v>7</v>
      </c>
      <c r="N457" t="str">
        <f t="shared" si="35"/>
        <v>Medium</v>
      </c>
      <c r="O457" t="str">
        <f t="shared" si="36"/>
        <v>High</v>
      </c>
      <c r="P457" t="str">
        <f t="shared" si="37"/>
        <v>High</v>
      </c>
      <c r="Q457" t="str">
        <f t="shared" si="38"/>
        <v>Bad</v>
      </c>
      <c r="R457" t="str">
        <f t="shared" si="39"/>
        <v>High</v>
      </c>
    </row>
    <row r="458" spans="1:18" x14ac:dyDescent="0.45">
      <c r="A458">
        <v>457</v>
      </c>
      <c r="B458">
        <v>19</v>
      </c>
      <c r="C458" t="s">
        <v>13</v>
      </c>
      <c r="D458" t="s">
        <v>14</v>
      </c>
      <c r="E458" t="s">
        <v>25</v>
      </c>
      <c r="F458">
        <v>8.1</v>
      </c>
      <c r="G458" t="s">
        <v>16</v>
      </c>
      <c r="H458" t="s">
        <v>17</v>
      </c>
      <c r="I458">
        <v>4.2</v>
      </c>
      <c r="J458">
        <v>5</v>
      </c>
      <c r="K458" t="s">
        <v>18</v>
      </c>
      <c r="L458">
        <v>4</v>
      </c>
      <c r="M458">
        <v>9</v>
      </c>
      <c r="N458" t="str">
        <f t="shared" si="35"/>
        <v>High</v>
      </c>
      <c r="O458" t="str">
        <f t="shared" si="36"/>
        <v>High</v>
      </c>
      <c r="P458" t="str">
        <f t="shared" si="37"/>
        <v>Less</v>
      </c>
      <c r="Q458" t="str">
        <f t="shared" si="38"/>
        <v>Bad</v>
      </c>
      <c r="R458" t="str">
        <f t="shared" si="39"/>
        <v>High</v>
      </c>
    </row>
    <row r="459" spans="1:18" x14ac:dyDescent="0.45">
      <c r="A459">
        <v>458</v>
      </c>
      <c r="B459">
        <v>21</v>
      </c>
      <c r="C459" t="s">
        <v>19</v>
      </c>
      <c r="D459" t="s">
        <v>20</v>
      </c>
      <c r="E459" t="s">
        <v>43</v>
      </c>
      <c r="F459">
        <v>6.9</v>
      </c>
      <c r="G459" t="s">
        <v>143</v>
      </c>
      <c r="H459" t="s">
        <v>17</v>
      </c>
      <c r="I459">
        <v>5.3</v>
      </c>
      <c r="J459">
        <v>6</v>
      </c>
      <c r="K459" t="s">
        <v>24</v>
      </c>
      <c r="L459">
        <v>3</v>
      </c>
      <c r="M459">
        <v>7</v>
      </c>
      <c r="N459" t="str">
        <f t="shared" si="35"/>
        <v>High</v>
      </c>
      <c r="O459" t="str">
        <f t="shared" si="36"/>
        <v>High</v>
      </c>
      <c r="P459" t="str">
        <f t="shared" si="37"/>
        <v>Average</v>
      </c>
      <c r="Q459" t="str">
        <f t="shared" si="38"/>
        <v>Bad</v>
      </c>
      <c r="R459" t="str">
        <f t="shared" si="39"/>
        <v>High</v>
      </c>
    </row>
    <row r="460" spans="1:18" x14ac:dyDescent="0.45">
      <c r="A460">
        <v>459</v>
      </c>
      <c r="B460">
        <v>20</v>
      </c>
      <c r="C460" t="s">
        <v>13</v>
      </c>
      <c r="D460" t="s">
        <v>14</v>
      </c>
      <c r="E460" t="s">
        <v>40</v>
      </c>
      <c r="F460">
        <v>3.2</v>
      </c>
      <c r="G460" t="s">
        <v>16</v>
      </c>
      <c r="H460" t="s">
        <v>23</v>
      </c>
      <c r="I460">
        <v>8.8000000000000007</v>
      </c>
      <c r="J460">
        <v>7</v>
      </c>
      <c r="K460" t="s">
        <v>18</v>
      </c>
      <c r="L460">
        <v>2</v>
      </c>
      <c r="M460">
        <v>5</v>
      </c>
      <c r="N460" t="str">
        <f t="shared" si="35"/>
        <v>Low</v>
      </c>
      <c r="O460" t="str">
        <f t="shared" si="36"/>
        <v>High</v>
      </c>
      <c r="P460" t="str">
        <f t="shared" si="37"/>
        <v>High</v>
      </c>
      <c r="Q460" t="str">
        <f t="shared" si="38"/>
        <v>Bad</v>
      </c>
      <c r="R460" t="str">
        <f t="shared" si="39"/>
        <v>Medium</v>
      </c>
    </row>
    <row r="461" spans="1:18" x14ac:dyDescent="0.45">
      <c r="A461">
        <v>460</v>
      </c>
      <c r="B461">
        <v>22</v>
      </c>
      <c r="C461" t="s">
        <v>19</v>
      </c>
      <c r="D461" t="s">
        <v>20</v>
      </c>
      <c r="E461" t="s">
        <v>31</v>
      </c>
      <c r="F461">
        <v>4</v>
      </c>
      <c r="G461" t="s">
        <v>26</v>
      </c>
      <c r="H461" t="s">
        <v>17</v>
      </c>
      <c r="I461">
        <v>8.1999999999999993</v>
      </c>
      <c r="J461">
        <v>6</v>
      </c>
      <c r="K461" t="s">
        <v>24</v>
      </c>
      <c r="L461">
        <v>3</v>
      </c>
      <c r="M461">
        <v>7</v>
      </c>
      <c r="N461" t="str">
        <f t="shared" si="35"/>
        <v>Medium</v>
      </c>
      <c r="O461" t="str">
        <f t="shared" si="36"/>
        <v>Less</v>
      </c>
      <c r="P461" t="str">
        <f t="shared" si="37"/>
        <v>High</v>
      </c>
      <c r="Q461" t="str">
        <f t="shared" si="38"/>
        <v>Bad</v>
      </c>
      <c r="R461" t="str">
        <f t="shared" si="39"/>
        <v>High</v>
      </c>
    </row>
    <row r="462" spans="1:18" x14ac:dyDescent="0.45">
      <c r="A462">
        <v>461</v>
      </c>
      <c r="B462">
        <v>19</v>
      </c>
      <c r="C462" t="s">
        <v>13</v>
      </c>
      <c r="D462" t="s">
        <v>14</v>
      </c>
      <c r="E462" t="s">
        <v>41</v>
      </c>
      <c r="F462">
        <v>3.8</v>
      </c>
      <c r="G462" t="s">
        <v>16</v>
      </c>
      <c r="H462" t="s">
        <v>17</v>
      </c>
      <c r="I462">
        <v>8.1</v>
      </c>
      <c r="J462">
        <v>6</v>
      </c>
      <c r="K462" t="s">
        <v>24</v>
      </c>
      <c r="L462">
        <v>3</v>
      </c>
      <c r="M462">
        <v>7</v>
      </c>
      <c r="N462" t="str">
        <f t="shared" si="35"/>
        <v>Medium</v>
      </c>
      <c r="O462" t="str">
        <f t="shared" si="36"/>
        <v>High</v>
      </c>
      <c r="P462" t="str">
        <f t="shared" si="37"/>
        <v>High</v>
      </c>
      <c r="Q462" t="str">
        <f t="shared" si="38"/>
        <v>Bad</v>
      </c>
      <c r="R462" t="str">
        <f t="shared" si="39"/>
        <v>High</v>
      </c>
    </row>
    <row r="463" spans="1:18" x14ac:dyDescent="0.45">
      <c r="A463">
        <v>462</v>
      </c>
      <c r="B463">
        <v>21</v>
      </c>
      <c r="C463" t="s">
        <v>19</v>
      </c>
      <c r="D463" t="s">
        <v>20</v>
      </c>
      <c r="E463" t="s">
        <v>48</v>
      </c>
      <c r="F463">
        <v>2.6</v>
      </c>
      <c r="G463" t="s">
        <v>32</v>
      </c>
      <c r="H463" t="s">
        <v>23</v>
      </c>
      <c r="I463">
        <v>9.1999999999999993</v>
      </c>
      <c r="J463">
        <v>8</v>
      </c>
      <c r="K463" t="s">
        <v>18</v>
      </c>
      <c r="L463">
        <v>2</v>
      </c>
      <c r="M463">
        <v>4</v>
      </c>
      <c r="N463" t="str">
        <f t="shared" si="35"/>
        <v>Low</v>
      </c>
      <c r="O463" t="str">
        <f t="shared" si="36"/>
        <v>High</v>
      </c>
      <c r="P463" t="str">
        <f t="shared" si="37"/>
        <v>High</v>
      </c>
      <c r="Q463" t="str">
        <f t="shared" si="38"/>
        <v>Good</v>
      </c>
      <c r="R463" t="str">
        <f t="shared" si="39"/>
        <v>Medium</v>
      </c>
    </row>
    <row r="464" spans="1:18" x14ac:dyDescent="0.45">
      <c r="A464">
        <v>463</v>
      </c>
      <c r="B464">
        <v>20</v>
      </c>
      <c r="C464" t="s">
        <v>13</v>
      </c>
      <c r="D464" t="s">
        <v>14</v>
      </c>
      <c r="E464" t="s">
        <v>55</v>
      </c>
      <c r="F464">
        <v>3.5</v>
      </c>
      <c r="G464" t="s">
        <v>26</v>
      </c>
      <c r="H464" t="s">
        <v>17</v>
      </c>
      <c r="I464">
        <v>8.4</v>
      </c>
      <c r="J464">
        <v>7</v>
      </c>
      <c r="K464" t="s">
        <v>24</v>
      </c>
      <c r="L464">
        <v>3</v>
      </c>
      <c r="M464">
        <v>6</v>
      </c>
      <c r="N464" t="str">
        <f t="shared" si="35"/>
        <v>Low</v>
      </c>
      <c r="O464" t="str">
        <f t="shared" si="36"/>
        <v>Less</v>
      </c>
      <c r="P464" t="str">
        <f t="shared" si="37"/>
        <v>High</v>
      </c>
      <c r="Q464" t="str">
        <f t="shared" si="38"/>
        <v>Bad</v>
      </c>
      <c r="R464" t="str">
        <f t="shared" si="39"/>
        <v>Medium</v>
      </c>
    </row>
    <row r="465" spans="1:18" x14ac:dyDescent="0.45">
      <c r="A465">
        <v>464</v>
      </c>
      <c r="B465">
        <v>22</v>
      </c>
      <c r="C465" t="s">
        <v>19</v>
      </c>
      <c r="D465" t="s">
        <v>20</v>
      </c>
      <c r="E465" t="s">
        <v>21</v>
      </c>
      <c r="F465">
        <v>7.2</v>
      </c>
      <c r="G465" t="s">
        <v>143</v>
      </c>
      <c r="H465" t="s">
        <v>17</v>
      </c>
      <c r="I465">
        <v>5.0999999999999996</v>
      </c>
      <c r="J465">
        <v>5</v>
      </c>
      <c r="K465" t="s">
        <v>18</v>
      </c>
      <c r="L465">
        <v>4</v>
      </c>
      <c r="M465">
        <v>8</v>
      </c>
      <c r="N465" t="str">
        <f t="shared" si="35"/>
        <v>High</v>
      </c>
      <c r="O465" t="str">
        <f t="shared" si="36"/>
        <v>Average</v>
      </c>
      <c r="P465" t="str">
        <f t="shared" si="37"/>
        <v>Average</v>
      </c>
      <c r="Q465" t="str">
        <f t="shared" si="38"/>
        <v>Bad</v>
      </c>
      <c r="R465" t="str">
        <f t="shared" si="39"/>
        <v>High</v>
      </c>
    </row>
    <row r="466" spans="1:18" x14ac:dyDescent="0.45">
      <c r="A466">
        <v>465</v>
      </c>
      <c r="B466">
        <v>19</v>
      </c>
      <c r="C466" t="s">
        <v>13</v>
      </c>
      <c r="D466" t="s">
        <v>14</v>
      </c>
      <c r="E466" t="s">
        <v>51</v>
      </c>
      <c r="F466">
        <v>2.5</v>
      </c>
      <c r="G466" t="s">
        <v>16</v>
      </c>
      <c r="H466" t="s">
        <v>23</v>
      </c>
      <c r="I466">
        <v>9.3000000000000007</v>
      </c>
      <c r="J466">
        <v>8</v>
      </c>
      <c r="K466" t="s">
        <v>24</v>
      </c>
      <c r="L466">
        <v>2</v>
      </c>
      <c r="M466">
        <v>4</v>
      </c>
      <c r="N466" t="str">
        <f t="shared" si="35"/>
        <v>Low</v>
      </c>
      <c r="O466" t="str">
        <f t="shared" si="36"/>
        <v>High</v>
      </c>
      <c r="P466" t="str">
        <f t="shared" si="37"/>
        <v>High</v>
      </c>
      <c r="Q466" t="str">
        <f t="shared" si="38"/>
        <v>Good</v>
      </c>
      <c r="R466" t="str">
        <f t="shared" si="39"/>
        <v>Medium</v>
      </c>
    </row>
    <row r="467" spans="1:18" x14ac:dyDescent="0.45">
      <c r="A467">
        <v>466</v>
      </c>
      <c r="B467">
        <v>21</v>
      </c>
      <c r="C467" t="s">
        <v>19</v>
      </c>
      <c r="D467" t="s">
        <v>20</v>
      </c>
      <c r="E467" t="s">
        <v>65</v>
      </c>
      <c r="F467">
        <v>4.0999999999999996</v>
      </c>
      <c r="G467" t="s">
        <v>16</v>
      </c>
      <c r="H467" t="s">
        <v>17</v>
      </c>
      <c r="I467">
        <v>8.1</v>
      </c>
      <c r="J467">
        <v>6</v>
      </c>
      <c r="K467" t="s">
        <v>24</v>
      </c>
      <c r="L467">
        <v>3</v>
      </c>
      <c r="M467">
        <v>7</v>
      </c>
      <c r="N467" t="str">
        <f t="shared" si="35"/>
        <v>Medium</v>
      </c>
      <c r="O467" t="str">
        <f t="shared" si="36"/>
        <v>High</v>
      </c>
      <c r="P467" t="str">
        <f t="shared" si="37"/>
        <v>High</v>
      </c>
      <c r="Q467" t="str">
        <f t="shared" si="38"/>
        <v>Bad</v>
      </c>
      <c r="R467" t="str">
        <f t="shared" si="39"/>
        <v>High</v>
      </c>
    </row>
    <row r="468" spans="1:18" x14ac:dyDescent="0.45">
      <c r="A468">
        <v>467</v>
      </c>
      <c r="B468">
        <v>20</v>
      </c>
      <c r="C468" t="s">
        <v>13</v>
      </c>
      <c r="D468" t="s">
        <v>14</v>
      </c>
      <c r="E468" t="s">
        <v>25</v>
      </c>
      <c r="F468">
        <v>8.1999999999999993</v>
      </c>
      <c r="G468" t="s">
        <v>26</v>
      </c>
      <c r="H468" t="s">
        <v>17</v>
      </c>
      <c r="I468">
        <v>4.0999999999999996</v>
      </c>
      <c r="J468">
        <v>5</v>
      </c>
      <c r="K468" t="s">
        <v>18</v>
      </c>
      <c r="L468">
        <v>4</v>
      </c>
      <c r="M468">
        <v>9</v>
      </c>
      <c r="N468" t="str">
        <f t="shared" si="35"/>
        <v>High</v>
      </c>
      <c r="O468" t="str">
        <f t="shared" si="36"/>
        <v>High</v>
      </c>
      <c r="P468" t="str">
        <f t="shared" si="37"/>
        <v>Less</v>
      </c>
      <c r="Q468" t="str">
        <f t="shared" si="38"/>
        <v>Bad</v>
      </c>
      <c r="R468" t="str">
        <f t="shared" si="39"/>
        <v>High</v>
      </c>
    </row>
    <row r="469" spans="1:18" x14ac:dyDescent="0.45">
      <c r="A469">
        <v>468</v>
      </c>
      <c r="B469">
        <v>22</v>
      </c>
      <c r="C469" t="s">
        <v>19</v>
      </c>
      <c r="D469" t="s">
        <v>20</v>
      </c>
      <c r="E469" t="s">
        <v>43</v>
      </c>
      <c r="F469">
        <v>7</v>
      </c>
      <c r="G469" t="s">
        <v>143</v>
      </c>
      <c r="H469" t="s">
        <v>17</v>
      </c>
      <c r="I469">
        <v>5.2</v>
      </c>
      <c r="J469">
        <v>6</v>
      </c>
      <c r="K469" t="s">
        <v>24</v>
      </c>
      <c r="L469">
        <v>3</v>
      </c>
      <c r="M469">
        <v>7</v>
      </c>
      <c r="N469" t="str">
        <f t="shared" si="35"/>
        <v>High</v>
      </c>
      <c r="O469" t="str">
        <f t="shared" si="36"/>
        <v>High</v>
      </c>
      <c r="P469" t="str">
        <f t="shared" si="37"/>
        <v>Average</v>
      </c>
      <c r="Q469" t="str">
        <f t="shared" si="38"/>
        <v>Bad</v>
      </c>
      <c r="R469" t="str">
        <f t="shared" si="39"/>
        <v>High</v>
      </c>
    </row>
    <row r="470" spans="1:18" x14ac:dyDescent="0.45">
      <c r="A470">
        <v>469</v>
      </c>
      <c r="B470">
        <v>19</v>
      </c>
      <c r="C470" t="s">
        <v>13</v>
      </c>
      <c r="D470" t="s">
        <v>14</v>
      </c>
      <c r="E470" t="s">
        <v>40</v>
      </c>
      <c r="F470">
        <v>3.1</v>
      </c>
      <c r="G470" t="s">
        <v>16</v>
      </c>
      <c r="H470" t="s">
        <v>23</v>
      </c>
      <c r="I470">
        <v>8.9</v>
      </c>
      <c r="J470">
        <v>7</v>
      </c>
      <c r="K470" t="s">
        <v>18</v>
      </c>
      <c r="L470">
        <v>2</v>
      </c>
      <c r="M470">
        <v>5</v>
      </c>
      <c r="N470" t="str">
        <f t="shared" si="35"/>
        <v>Low</v>
      </c>
      <c r="O470" t="str">
        <f t="shared" si="36"/>
        <v>High</v>
      </c>
      <c r="P470" t="str">
        <f t="shared" si="37"/>
        <v>High</v>
      </c>
      <c r="Q470" t="str">
        <f t="shared" si="38"/>
        <v>Bad</v>
      </c>
      <c r="R470" t="str">
        <f t="shared" si="39"/>
        <v>Medium</v>
      </c>
    </row>
    <row r="471" spans="1:18" x14ac:dyDescent="0.45">
      <c r="A471">
        <v>470</v>
      </c>
      <c r="B471">
        <v>21</v>
      </c>
      <c r="C471" t="s">
        <v>19</v>
      </c>
      <c r="D471" t="s">
        <v>20</v>
      </c>
      <c r="E471" t="s">
        <v>31</v>
      </c>
      <c r="F471">
        <v>3.9</v>
      </c>
      <c r="G471" t="s">
        <v>16</v>
      </c>
      <c r="H471" t="s">
        <v>17</v>
      </c>
      <c r="I471">
        <v>8.3000000000000007</v>
      </c>
      <c r="J471">
        <v>6</v>
      </c>
      <c r="K471" t="s">
        <v>24</v>
      </c>
      <c r="L471">
        <v>3</v>
      </c>
      <c r="M471">
        <v>7</v>
      </c>
      <c r="N471" t="str">
        <f t="shared" si="35"/>
        <v>Medium</v>
      </c>
      <c r="O471" t="str">
        <f t="shared" si="36"/>
        <v>Less</v>
      </c>
      <c r="P471" t="str">
        <f t="shared" si="37"/>
        <v>High</v>
      </c>
      <c r="Q471" t="str">
        <f t="shared" si="38"/>
        <v>Bad</v>
      </c>
      <c r="R471" t="str">
        <f t="shared" si="39"/>
        <v>High</v>
      </c>
    </row>
    <row r="472" spans="1:18" x14ac:dyDescent="0.45">
      <c r="A472">
        <v>471</v>
      </c>
      <c r="B472">
        <v>20</v>
      </c>
      <c r="C472" t="s">
        <v>13</v>
      </c>
      <c r="D472" t="s">
        <v>14</v>
      </c>
      <c r="E472" t="s">
        <v>41</v>
      </c>
      <c r="F472">
        <v>3.7</v>
      </c>
      <c r="G472" t="s">
        <v>26</v>
      </c>
      <c r="H472" t="s">
        <v>17</v>
      </c>
      <c r="I472">
        <v>8.1999999999999993</v>
      </c>
      <c r="J472">
        <v>6</v>
      </c>
      <c r="K472" t="s">
        <v>24</v>
      </c>
      <c r="L472">
        <v>3</v>
      </c>
      <c r="M472">
        <v>7</v>
      </c>
      <c r="N472" t="str">
        <f t="shared" si="35"/>
        <v>Medium</v>
      </c>
      <c r="O472" t="str">
        <f t="shared" si="36"/>
        <v>High</v>
      </c>
      <c r="P472" t="str">
        <f t="shared" si="37"/>
        <v>High</v>
      </c>
      <c r="Q472" t="str">
        <f t="shared" si="38"/>
        <v>Bad</v>
      </c>
      <c r="R472" t="str">
        <f t="shared" si="39"/>
        <v>High</v>
      </c>
    </row>
    <row r="473" spans="1:18" x14ac:dyDescent="0.45">
      <c r="A473">
        <v>472</v>
      </c>
      <c r="B473">
        <v>22</v>
      </c>
      <c r="C473" t="s">
        <v>19</v>
      </c>
      <c r="D473" t="s">
        <v>20</v>
      </c>
      <c r="E473" t="s">
        <v>48</v>
      </c>
      <c r="F473">
        <v>2.5</v>
      </c>
      <c r="G473" t="s">
        <v>32</v>
      </c>
      <c r="H473" t="s">
        <v>23</v>
      </c>
      <c r="I473">
        <v>9.3000000000000007</v>
      </c>
      <c r="J473">
        <v>8</v>
      </c>
      <c r="K473" t="s">
        <v>18</v>
      </c>
      <c r="L473">
        <v>2</v>
      </c>
      <c r="M473">
        <v>4</v>
      </c>
      <c r="N473" t="str">
        <f t="shared" si="35"/>
        <v>Low</v>
      </c>
      <c r="O473" t="str">
        <f t="shared" si="36"/>
        <v>High</v>
      </c>
      <c r="P473" t="str">
        <f t="shared" si="37"/>
        <v>High</v>
      </c>
      <c r="Q473" t="str">
        <f t="shared" si="38"/>
        <v>Good</v>
      </c>
      <c r="R473" t="str">
        <f t="shared" si="39"/>
        <v>Medium</v>
      </c>
    </row>
    <row r="474" spans="1:18" x14ac:dyDescent="0.45">
      <c r="A474">
        <v>473</v>
      </c>
      <c r="B474">
        <v>19</v>
      </c>
      <c r="C474" t="s">
        <v>13</v>
      </c>
      <c r="D474" t="s">
        <v>14</v>
      </c>
      <c r="E474" t="s">
        <v>55</v>
      </c>
      <c r="F474">
        <v>3.4</v>
      </c>
      <c r="G474" t="s">
        <v>16</v>
      </c>
      <c r="H474" t="s">
        <v>17</v>
      </c>
      <c r="I474">
        <v>8.5</v>
      </c>
      <c r="J474">
        <v>7</v>
      </c>
      <c r="K474" t="s">
        <v>24</v>
      </c>
      <c r="L474">
        <v>3</v>
      </c>
      <c r="M474">
        <v>6</v>
      </c>
      <c r="N474" t="str">
        <f t="shared" si="35"/>
        <v>Low</v>
      </c>
      <c r="O474" t="str">
        <f t="shared" si="36"/>
        <v>Less</v>
      </c>
      <c r="P474" t="str">
        <f t="shared" si="37"/>
        <v>High</v>
      </c>
      <c r="Q474" t="str">
        <f t="shared" si="38"/>
        <v>Bad</v>
      </c>
      <c r="R474" t="str">
        <f t="shared" si="39"/>
        <v>Medium</v>
      </c>
    </row>
    <row r="475" spans="1:18" x14ac:dyDescent="0.45">
      <c r="A475">
        <v>474</v>
      </c>
      <c r="B475">
        <v>21</v>
      </c>
      <c r="C475" t="s">
        <v>19</v>
      </c>
      <c r="D475" t="s">
        <v>20</v>
      </c>
      <c r="E475" t="s">
        <v>21</v>
      </c>
      <c r="F475">
        <v>7.3</v>
      </c>
      <c r="G475" t="s">
        <v>143</v>
      </c>
      <c r="H475" t="s">
        <v>17</v>
      </c>
      <c r="I475">
        <v>5</v>
      </c>
      <c r="J475">
        <v>5</v>
      </c>
      <c r="K475" t="s">
        <v>18</v>
      </c>
      <c r="L475">
        <v>4</v>
      </c>
      <c r="M475">
        <v>8</v>
      </c>
      <c r="N475" t="str">
        <f t="shared" si="35"/>
        <v>High</v>
      </c>
      <c r="O475" t="str">
        <f t="shared" si="36"/>
        <v>Less</v>
      </c>
      <c r="P475" t="str">
        <f t="shared" si="37"/>
        <v>Less</v>
      </c>
      <c r="Q475" t="str">
        <f t="shared" si="38"/>
        <v>Bad</v>
      </c>
      <c r="R475" t="str">
        <f t="shared" si="39"/>
        <v>High</v>
      </c>
    </row>
    <row r="476" spans="1:18" x14ac:dyDescent="0.45">
      <c r="A476">
        <v>475</v>
      </c>
      <c r="B476">
        <v>20</v>
      </c>
      <c r="C476" t="s">
        <v>13</v>
      </c>
      <c r="D476" t="s">
        <v>14</v>
      </c>
      <c r="E476" t="s">
        <v>51</v>
      </c>
      <c r="F476">
        <v>2.4</v>
      </c>
      <c r="G476" t="s">
        <v>16</v>
      </c>
      <c r="H476" t="s">
        <v>23</v>
      </c>
      <c r="I476">
        <v>9.4</v>
      </c>
      <c r="J476">
        <v>8</v>
      </c>
      <c r="K476" t="s">
        <v>24</v>
      </c>
      <c r="L476">
        <v>2</v>
      </c>
      <c r="M476">
        <v>4</v>
      </c>
      <c r="N476" t="str">
        <f t="shared" si="35"/>
        <v>Low</v>
      </c>
      <c r="O476" t="str">
        <f t="shared" si="36"/>
        <v>High</v>
      </c>
      <c r="P476" t="str">
        <f t="shared" si="37"/>
        <v>High</v>
      </c>
      <c r="Q476" t="str">
        <f t="shared" si="38"/>
        <v>Good</v>
      </c>
      <c r="R476" t="str">
        <f t="shared" si="39"/>
        <v>Medium</v>
      </c>
    </row>
    <row r="477" spans="1:18" x14ac:dyDescent="0.45">
      <c r="A477">
        <v>476</v>
      </c>
      <c r="B477">
        <v>22</v>
      </c>
      <c r="C477" t="s">
        <v>19</v>
      </c>
      <c r="D477" t="s">
        <v>20</v>
      </c>
      <c r="E477" t="s">
        <v>65</v>
      </c>
      <c r="F477">
        <v>4</v>
      </c>
      <c r="G477" t="s">
        <v>26</v>
      </c>
      <c r="H477" t="s">
        <v>17</v>
      </c>
      <c r="I477">
        <v>8.1999999999999993</v>
      </c>
      <c r="J477">
        <v>6</v>
      </c>
      <c r="K477" t="s">
        <v>24</v>
      </c>
      <c r="L477">
        <v>3</v>
      </c>
      <c r="M477">
        <v>7</v>
      </c>
      <c r="N477" t="str">
        <f t="shared" si="35"/>
        <v>Medium</v>
      </c>
      <c r="O477" t="str">
        <f t="shared" si="36"/>
        <v>High</v>
      </c>
      <c r="P477" t="str">
        <f t="shared" si="37"/>
        <v>High</v>
      </c>
      <c r="Q477" t="str">
        <f t="shared" si="38"/>
        <v>Bad</v>
      </c>
      <c r="R477" t="str">
        <f t="shared" si="39"/>
        <v>High</v>
      </c>
    </row>
    <row r="478" spans="1:18" x14ac:dyDescent="0.45">
      <c r="A478">
        <v>477</v>
      </c>
      <c r="B478">
        <v>19</v>
      </c>
      <c r="C478" t="s">
        <v>13</v>
      </c>
      <c r="D478" t="s">
        <v>14</v>
      </c>
      <c r="E478" t="s">
        <v>25</v>
      </c>
      <c r="F478">
        <v>8.3000000000000007</v>
      </c>
      <c r="G478" t="s">
        <v>16</v>
      </c>
      <c r="H478" t="s">
        <v>17</v>
      </c>
      <c r="I478">
        <v>4</v>
      </c>
      <c r="J478">
        <v>5</v>
      </c>
      <c r="K478" t="s">
        <v>18</v>
      </c>
      <c r="L478">
        <v>4</v>
      </c>
      <c r="M478">
        <v>9</v>
      </c>
      <c r="N478" t="str">
        <f t="shared" si="35"/>
        <v>High</v>
      </c>
      <c r="O478" t="str">
        <f t="shared" si="36"/>
        <v>High</v>
      </c>
      <c r="P478" t="str">
        <f t="shared" si="37"/>
        <v>Less</v>
      </c>
      <c r="Q478" t="str">
        <f t="shared" si="38"/>
        <v>Bad</v>
      </c>
      <c r="R478" t="str">
        <f t="shared" si="39"/>
        <v>High</v>
      </c>
    </row>
    <row r="479" spans="1:18" x14ac:dyDescent="0.45">
      <c r="A479">
        <v>478</v>
      </c>
      <c r="B479">
        <v>21</v>
      </c>
      <c r="C479" t="s">
        <v>19</v>
      </c>
      <c r="D479" t="s">
        <v>20</v>
      </c>
      <c r="E479" t="s">
        <v>43</v>
      </c>
      <c r="F479">
        <v>7.1</v>
      </c>
      <c r="G479" t="s">
        <v>143</v>
      </c>
      <c r="H479" t="s">
        <v>17</v>
      </c>
      <c r="I479">
        <v>5.0999999999999996</v>
      </c>
      <c r="J479">
        <v>6</v>
      </c>
      <c r="K479" t="s">
        <v>24</v>
      </c>
      <c r="L479">
        <v>3</v>
      </c>
      <c r="M479">
        <v>7</v>
      </c>
      <c r="N479" t="str">
        <f t="shared" si="35"/>
        <v>High</v>
      </c>
      <c r="O479" t="str">
        <f t="shared" si="36"/>
        <v>High</v>
      </c>
      <c r="P479" t="str">
        <f t="shared" si="37"/>
        <v>Average</v>
      </c>
      <c r="Q479" t="str">
        <f t="shared" si="38"/>
        <v>Bad</v>
      </c>
      <c r="R479" t="str">
        <f t="shared" si="39"/>
        <v>High</v>
      </c>
    </row>
    <row r="480" spans="1:18" x14ac:dyDescent="0.45">
      <c r="A480">
        <v>479</v>
      </c>
      <c r="B480">
        <v>20</v>
      </c>
      <c r="C480" t="s">
        <v>13</v>
      </c>
      <c r="D480" t="s">
        <v>14</v>
      </c>
      <c r="E480" t="s">
        <v>40</v>
      </c>
      <c r="F480">
        <v>3</v>
      </c>
      <c r="G480" t="s">
        <v>16</v>
      </c>
      <c r="H480" t="s">
        <v>23</v>
      </c>
      <c r="I480">
        <v>9</v>
      </c>
      <c r="J480">
        <v>7</v>
      </c>
      <c r="K480" t="s">
        <v>18</v>
      </c>
      <c r="L480">
        <v>2</v>
      </c>
      <c r="M480">
        <v>5</v>
      </c>
      <c r="N480" t="str">
        <f t="shared" si="35"/>
        <v>Low</v>
      </c>
      <c r="O480" t="str">
        <f t="shared" si="36"/>
        <v>High</v>
      </c>
      <c r="P480" t="str">
        <f t="shared" si="37"/>
        <v>High</v>
      </c>
      <c r="Q480" t="str">
        <f t="shared" si="38"/>
        <v>Bad</v>
      </c>
      <c r="R480" t="str">
        <f t="shared" si="39"/>
        <v>Medium</v>
      </c>
    </row>
    <row r="481" spans="1:18" x14ac:dyDescent="0.45">
      <c r="A481">
        <v>480</v>
      </c>
      <c r="B481">
        <v>22</v>
      </c>
      <c r="C481" t="s">
        <v>19</v>
      </c>
      <c r="D481" t="s">
        <v>20</v>
      </c>
      <c r="E481" t="s">
        <v>31</v>
      </c>
      <c r="F481">
        <v>3.8</v>
      </c>
      <c r="G481" t="s">
        <v>26</v>
      </c>
      <c r="H481" t="s">
        <v>17</v>
      </c>
      <c r="I481">
        <v>8.4</v>
      </c>
      <c r="J481">
        <v>6</v>
      </c>
      <c r="K481" t="s">
        <v>24</v>
      </c>
      <c r="L481">
        <v>3</v>
      </c>
      <c r="M481">
        <v>7</v>
      </c>
      <c r="N481" t="str">
        <f t="shared" si="35"/>
        <v>Medium</v>
      </c>
      <c r="O481" t="str">
        <f t="shared" si="36"/>
        <v>Less</v>
      </c>
      <c r="P481" t="str">
        <f t="shared" si="37"/>
        <v>High</v>
      </c>
      <c r="Q481" t="str">
        <f t="shared" si="38"/>
        <v>Bad</v>
      </c>
      <c r="R481" t="str">
        <f t="shared" si="39"/>
        <v>High</v>
      </c>
    </row>
    <row r="482" spans="1:18" x14ac:dyDescent="0.45">
      <c r="A482">
        <v>481</v>
      </c>
      <c r="B482">
        <v>19</v>
      </c>
      <c r="C482" t="s">
        <v>13</v>
      </c>
      <c r="D482" t="s">
        <v>14</v>
      </c>
      <c r="E482" t="s">
        <v>41</v>
      </c>
      <c r="F482">
        <v>3.6</v>
      </c>
      <c r="G482" t="s">
        <v>16</v>
      </c>
      <c r="H482" t="s">
        <v>17</v>
      </c>
      <c r="I482">
        <v>8.3000000000000007</v>
      </c>
      <c r="J482">
        <v>6</v>
      </c>
      <c r="K482" t="s">
        <v>24</v>
      </c>
      <c r="L482">
        <v>3</v>
      </c>
      <c r="M482">
        <v>7</v>
      </c>
      <c r="N482" t="str">
        <f t="shared" si="35"/>
        <v>Medium</v>
      </c>
      <c r="O482" t="str">
        <f t="shared" si="36"/>
        <v>High</v>
      </c>
      <c r="P482" t="str">
        <f t="shared" si="37"/>
        <v>High</v>
      </c>
      <c r="Q482" t="str">
        <f t="shared" si="38"/>
        <v>Bad</v>
      </c>
      <c r="R482" t="str">
        <f t="shared" si="39"/>
        <v>High</v>
      </c>
    </row>
    <row r="483" spans="1:18" x14ac:dyDescent="0.45">
      <c r="A483">
        <v>482</v>
      </c>
      <c r="B483">
        <v>21</v>
      </c>
      <c r="C483" t="s">
        <v>19</v>
      </c>
      <c r="D483" t="s">
        <v>20</v>
      </c>
      <c r="E483" t="s">
        <v>48</v>
      </c>
      <c r="F483">
        <v>2.4</v>
      </c>
      <c r="G483" t="s">
        <v>32</v>
      </c>
      <c r="H483" t="s">
        <v>23</v>
      </c>
      <c r="I483">
        <v>9.4</v>
      </c>
      <c r="J483">
        <v>8</v>
      </c>
      <c r="K483" t="s">
        <v>18</v>
      </c>
      <c r="L483">
        <v>2</v>
      </c>
      <c r="M483">
        <v>4</v>
      </c>
      <c r="N483" t="str">
        <f t="shared" si="35"/>
        <v>Low</v>
      </c>
      <c r="O483" t="str">
        <f t="shared" si="36"/>
        <v>High</v>
      </c>
      <c r="P483" t="str">
        <f t="shared" si="37"/>
        <v>High</v>
      </c>
      <c r="Q483" t="str">
        <f t="shared" si="38"/>
        <v>Good</v>
      </c>
      <c r="R483" t="str">
        <f t="shared" si="39"/>
        <v>Medium</v>
      </c>
    </row>
    <row r="484" spans="1:18" x14ac:dyDescent="0.45">
      <c r="A484">
        <v>483</v>
      </c>
      <c r="B484">
        <v>20</v>
      </c>
      <c r="C484" t="s">
        <v>13</v>
      </c>
      <c r="D484" t="s">
        <v>14</v>
      </c>
      <c r="E484" t="s">
        <v>55</v>
      </c>
      <c r="F484">
        <v>3.3</v>
      </c>
      <c r="G484" t="s">
        <v>26</v>
      </c>
      <c r="H484" t="s">
        <v>17</v>
      </c>
      <c r="I484">
        <v>8.6</v>
      </c>
      <c r="J484">
        <v>7</v>
      </c>
      <c r="K484" t="s">
        <v>24</v>
      </c>
      <c r="L484">
        <v>3</v>
      </c>
      <c r="M484">
        <v>6</v>
      </c>
      <c r="N484" t="str">
        <f t="shared" si="35"/>
        <v>Low</v>
      </c>
      <c r="O484" t="str">
        <f t="shared" si="36"/>
        <v>Less</v>
      </c>
      <c r="P484" t="str">
        <f t="shared" si="37"/>
        <v>High</v>
      </c>
      <c r="Q484" t="str">
        <f t="shared" si="38"/>
        <v>Bad</v>
      </c>
      <c r="R484" t="str">
        <f t="shared" si="39"/>
        <v>Medium</v>
      </c>
    </row>
    <row r="485" spans="1:18" x14ac:dyDescent="0.45">
      <c r="A485">
        <v>484</v>
      </c>
      <c r="B485">
        <v>22</v>
      </c>
      <c r="C485" t="s">
        <v>19</v>
      </c>
      <c r="D485" t="s">
        <v>20</v>
      </c>
      <c r="E485" t="s">
        <v>21</v>
      </c>
      <c r="F485">
        <v>7.4</v>
      </c>
      <c r="G485" t="s">
        <v>143</v>
      </c>
      <c r="H485" t="s">
        <v>17</v>
      </c>
      <c r="I485">
        <v>4.9000000000000004</v>
      </c>
      <c r="J485">
        <v>5</v>
      </c>
      <c r="K485" t="s">
        <v>18</v>
      </c>
      <c r="L485">
        <v>4</v>
      </c>
      <c r="M485">
        <v>8</v>
      </c>
      <c r="N485" t="str">
        <f t="shared" si="35"/>
        <v>High</v>
      </c>
      <c r="O485" t="str">
        <f t="shared" si="36"/>
        <v>Less</v>
      </c>
      <c r="P485" t="str">
        <f t="shared" si="37"/>
        <v>Less</v>
      </c>
      <c r="Q485" t="str">
        <f t="shared" si="38"/>
        <v>Bad</v>
      </c>
      <c r="R485" t="str">
        <f t="shared" si="39"/>
        <v>High</v>
      </c>
    </row>
    <row r="486" spans="1:18" x14ac:dyDescent="0.45">
      <c r="A486">
        <v>485</v>
      </c>
      <c r="B486">
        <v>19</v>
      </c>
      <c r="C486" t="s">
        <v>13</v>
      </c>
      <c r="D486" t="s">
        <v>14</v>
      </c>
      <c r="E486" t="s">
        <v>51</v>
      </c>
      <c r="F486">
        <v>2.2999999999999998</v>
      </c>
      <c r="G486" t="s">
        <v>16</v>
      </c>
      <c r="H486" t="s">
        <v>23</v>
      </c>
      <c r="I486">
        <v>9.5</v>
      </c>
      <c r="J486">
        <v>8</v>
      </c>
      <c r="K486" t="s">
        <v>24</v>
      </c>
      <c r="L486">
        <v>2</v>
      </c>
      <c r="M486">
        <v>4</v>
      </c>
      <c r="N486" t="str">
        <f t="shared" si="35"/>
        <v>Low</v>
      </c>
      <c r="O486" t="str">
        <f t="shared" si="36"/>
        <v>High</v>
      </c>
      <c r="P486" t="str">
        <f t="shared" si="37"/>
        <v>High</v>
      </c>
      <c r="Q486" t="str">
        <f t="shared" si="38"/>
        <v>Good</v>
      </c>
      <c r="R486" t="str">
        <f t="shared" si="39"/>
        <v>Medium</v>
      </c>
    </row>
    <row r="487" spans="1:18" x14ac:dyDescent="0.45">
      <c r="A487">
        <v>486</v>
      </c>
      <c r="B487">
        <v>21</v>
      </c>
      <c r="C487" t="s">
        <v>19</v>
      </c>
      <c r="D487" t="s">
        <v>20</v>
      </c>
      <c r="E487" t="s">
        <v>65</v>
      </c>
      <c r="F487">
        <v>3.9</v>
      </c>
      <c r="G487" t="s">
        <v>16</v>
      </c>
      <c r="H487" t="s">
        <v>17</v>
      </c>
      <c r="I487">
        <v>8.3000000000000007</v>
      </c>
      <c r="J487">
        <v>6</v>
      </c>
      <c r="K487" t="s">
        <v>24</v>
      </c>
      <c r="L487">
        <v>3</v>
      </c>
      <c r="M487">
        <v>7</v>
      </c>
      <c r="N487" t="str">
        <f t="shared" si="35"/>
        <v>Medium</v>
      </c>
      <c r="O487" t="str">
        <f t="shared" si="36"/>
        <v>High</v>
      </c>
      <c r="P487" t="str">
        <f t="shared" si="37"/>
        <v>High</v>
      </c>
      <c r="Q487" t="str">
        <f t="shared" si="38"/>
        <v>Bad</v>
      </c>
      <c r="R487" t="str">
        <f t="shared" si="39"/>
        <v>High</v>
      </c>
    </row>
    <row r="488" spans="1:18" x14ac:dyDescent="0.45">
      <c r="A488">
        <v>487</v>
      </c>
      <c r="B488">
        <v>20</v>
      </c>
      <c r="C488" t="s">
        <v>13</v>
      </c>
      <c r="D488" t="s">
        <v>14</v>
      </c>
      <c r="E488" t="s">
        <v>25</v>
      </c>
      <c r="F488">
        <v>8.4</v>
      </c>
      <c r="G488" t="s">
        <v>26</v>
      </c>
      <c r="H488" t="s">
        <v>17</v>
      </c>
      <c r="I488">
        <v>3.9</v>
      </c>
      <c r="J488">
        <v>5</v>
      </c>
      <c r="K488" t="s">
        <v>18</v>
      </c>
      <c r="L488">
        <v>4</v>
      </c>
      <c r="M488">
        <v>9</v>
      </c>
      <c r="N488" t="str">
        <f t="shared" si="35"/>
        <v>High</v>
      </c>
      <c r="O488" t="str">
        <f t="shared" si="36"/>
        <v>Average</v>
      </c>
      <c r="P488" t="str">
        <f t="shared" si="37"/>
        <v>Less</v>
      </c>
      <c r="Q488" t="str">
        <f t="shared" si="38"/>
        <v>Bad</v>
      </c>
      <c r="R488" t="str">
        <f t="shared" si="39"/>
        <v>High</v>
      </c>
    </row>
    <row r="489" spans="1:18" x14ac:dyDescent="0.45">
      <c r="A489">
        <v>488</v>
      </c>
      <c r="B489">
        <v>22</v>
      </c>
      <c r="C489" t="s">
        <v>19</v>
      </c>
      <c r="D489" t="s">
        <v>20</v>
      </c>
      <c r="E489" t="s">
        <v>43</v>
      </c>
      <c r="F489">
        <v>7.2</v>
      </c>
      <c r="G489" t="s">
        <v>143</v>
      </c>
      <c r="H489" t="s">
        <v>17</v>
      </c>
      <c r="I489">
        <v>5</v>
      </c>
      <c r="J489">
        <v>6</v>
      </c>
      <c r="K489" t="s">
        <v>24</v>
      </c>
      <c r="L489">
        <v>3</v>
      </c>
      <c r="M489">
        <v>7</v>
      </c>
      <c r="N489" t="str">
        <f t="shared" si="35"/>
        <v>High</v>
      </c>
      <c r="O489" t="str">
        <f t="shared" si="36"/>
        <v>High</v>
      </c>
      <c r="P489" t="str">
        <f t="shared" si="37"/>
        <v>Less</v>
      </c>
      <c r="Q489" t="str">
        <f t="shared" si="38"/>
        <v>Bad</v>
      </c>
      <c r="R489" t="str">
        <f t="shared" si="39"/>
        <v>High</v>
      </c>
    </row>
    <row r="490" spans="1:18" x14ac:dyDescent="0.45">
      <c r="A490">
        <v>489</v>
      </c>
      <c r="B490">
        <v>19</v>
      </c>
      <c r="C490" t="s">
        <v>13</v>
      </c>
      <c r="D490" t="s">
        <v>14</v>
      </c>
      <c r="E490" t="s">
        <v>40</v>
      </c>
      <c r="F490">
        <v>2.9</v>
      </c>
      <c r="G490" t="s">
        <v>16</v>
      </c>
      <c r="H490" t="s">
        <v>23</v>
      </c>
      <c r="I490">
        <v>9.1</v>
      </c>
      <c r="J490">
        <v>7</v>
      </c>
      <c r="K490" t="s">
        <v>18</v>
      </c>
      <c r="L490">
        <v>2</v>
      </c>
      <c r="M490">
        <v>5</v>
      </c>
      <c r="N490" t="str">
        <f t="shared" si="35"/>
        <v>Low</v>
      </c>
      <c r="O490" t="str">
        <f t="shared" si="36"/>
        <v>High</v>
      </c>
      <c r="P490" t="str">
        <f t="shared" si="37"/>
        <v>High</v>
      </c>
      <c r="Q490" t="str">
        <f t="shared" si="38"/>
        <v>Bad</v>
      </c>
      <c r="R490" t="str">
        <f t="shared" si="39"/>
        <v>Medium</v>
      </c>
    </row>
    <row r="491" spans="1:18" x14ac:dyDescent="0.45">
      <c r="A491">
        <v>490</v>
      </c>
      <c r="B491">
        <v>21</v>
      </c>
      <c r="C491" t="s">
        <v>19</v>
      </c>
      <c r="D491" t="s">
        <v>20</v>
      </c>
      <c r="E491" t="s">
        <v>31</v>
      </c>
      <c r="F491">
        <v>3.7</v>
      </c>
      <c r="G491" t="s">
        <v>16</v>
      </c>
      <c r="H491" t="s">
        <v>17</v>
      </c>
      <c r="I491">
        <v>8.5</v>
      </c>
      <c r="J491">
        <v>6</v>
      </c>
      <c r="K491" t="s">
        <v>24</v>
      </c>
      <c r="L491">
        <v>3</v>
      </c>
      <c r="M491">
        <v>7</v>
      </c>
      <c r="N491" t="str">
        <f t="shared" si="35"/>
        <v>Medium</v>
      </c>
      <c r="O491" t="str">
        <f t="shared" si="36"/>
        <v>High</v>
      </c>
      <c r="P491" t="str">
        <f t="shared" si="37"/>
        <v>High</v>
      </c>
      <c r="Q491" t="str">
        <f t="shared" si="38"/>
        <v>Bad</v>
      </c>
      <c r="R491" t="str">
        <f t="shared" si="39"/>
        <v>High</v>
      </c>
    </row>
    <row r="492" spans="1:18" x14ac:dyDescent="0.45">
      <c r="A492">
        <v>491</v>
      </c>
      <c r="B492">
        <v>20</v>
      </c>
      <c r="C492" t="s">
        <v>13</v>
      </c>
      <c r="D492" t="s">
        <v>14</v>
      </c>
      <c r="E492" t="s">
        <v>41</v>
      </c>
      <c r="F492">
        <v>3.5</v>
      </c>
      <c r="G492" t="s">
        <v>26</v>
      </c>
      <c r="H492" t="s">
        <v>17</v>
      </c>
      <c r="I492">
        <v>8.4</v>
      </c>
      <c r="J492">
        <v>6</v>
      </c>
      <c r="K492" t="s">
        <v>24</v>
      </c>
      <c r="L492">
        <v>3</v>
      </c>
      <c r="M492">
        <v>7</v>
      </c>
      <c r="N492" t="str">
        <f t="shared" si="35"/>
        <v>Low</v>
      </c>
      <c r="O492" t="str">
        <f t="shared" si="36"/>
        <v>Average</v>
      </c>
      <c r="P492" t="str">
        <f t="shared" si="37"/>
        <v>High</v>
      </c>
      <c r="Q492" t="str">
        <f t="shared" si="38"/>
        <v>Bad</v>
      </c>
      <c r="R492" t="str">
        <f t="shared" si="39"/>
        <v>High</v>
      </c>
    </row>
    <row r="493" spans="1:18" x14ac:dyDescent="0.45">
      <c r="A493">
        <v>492</v>
      </c>
      <c r="B493">
        <v>22</v>
      </c>
      <c r="C493" t="s">
        <v>19</v>
      </c>
      <c r="D493" t="s">
        <v>20</v>
      </c>
      <c r="E493" t="s">
        <v>48</v>
      </c>
      <c r="F493">
        <v>2.2999999999999998</v>
      </c>
      <c r="G493" t="s">
        <v>32</v>
      </c>
      <c r="H493" t="s">
        <v>23</v>
      </c>
      <c r="I493">
        <v>9.5</v>
      </c>
      <c r="J493">
        <v>8</v>
      </c>
      <c r="K493" t="s">
        <v>18</v>
      </c>
      <c r="L493">
        <v>2</v>
      </c>
      <c r="M493">
        <v>4</v>
      </c>
      <c r="N493" t="str">
        <f t="shared" si="35"/>
        <v>Low</v>
      </c>
      <c r="O493" t="str">
        <f t="shared" si="36"/>
        <v>Average</v>
      </c>
      <c r="P493" t="str">
        <f t="shared" si="37"/>
        <v>High</v>
      </c>
      <c r="Q493" t="str">
        <f t="shared" si="38"/>
        <v>Good</v>
      </c>
      <c r="R493" t="str">
        <f t="shared" si="39"/>
        <v>Medium</v>
      </c>
    </row>
    <row r="494" spans="1:18" x14ac:dyDescent="0.45">
      <c r="A494">
        <v>493</v>
      </c>
      <c r="B494">
        <v>19</v>
      </c>
      <c r="C494" t="s">
        <v>13</v>
      </c>
      <c r="D494" t="s">
        <v>14</v>
      </c>
      <c r="E494" t="s">
        <v>55</v>
      </c>
      <c r="F494">
        <v>3.2</v>
      </c>
      <c r="G494" t="s">
        <v>16</v>
      </c>
      <c r="H494" t="s">
        <v>17</v>
      </c>
      <c r="I494">
        <v>8.6999999999999993</v>
      </c>
      <c r="J494">
        <v>7</v>
      </c>
      <c r="K494" t="s">
        <v>24</v>
      </c>
      <c r="L494">
        <v>3</v>
      </c>
      <c r="M494">
        <v>6</v>
      </c>
      <c r="N494" t="str">
        <f t="shared" si="35"/>
        <v>Low</v>
      </c>
      <c r="O494" t="str">
        <f t="shared" si="36"/>
        <v>Average</v>
      </c>
      <c r="P494" t="str">
        <f t="shared" si="37"/>
        <v>High</v>
      </c>
      <c r="Q494" t="str">
        <f t="shared" si="38"/>
        <v>Bad</v>
      </c>
      <c r="R494" t="str">
        <f t="shared" si="39"/>
        <v>Medium</v>
      </c>
    </row>
    <row r="495" spans="1:18" x14ac:dyDescent="0.45">
      <c r="A495">
        <v>494</v>
      </c>
      <c r="B495">
        <v>21</v>
      </c>
      <c r="C495" t="s">
        <v>19</v>
      </c>
      <c r="D495" t="s">
        <v>20</v>
      </c>
      <c r="E495" t="s">
        <v>21</v>
      </c>
      <c r="F495">
        <v>7.5</v>
      </c>
      <c r="G495" t="s">
        <v>143</v>
      </c>
      <c r="H495" t="s">
        <v>17</v>
      </c>
      <c r="I495">
        <v>4.8</v>
      </c>
      <c r="J495">
        <v>5</v>
      </c>
      <c r="K495" t="s">
        <v>18</v>
      </c>
      <c r="L495">
        <v>4</v>
      </c>
      <c r="M495">
        <v>8</v>
      </c>
      <c r="N495" t="str">
        <f t="shared" si="35"/>
        <v>High</v>
      </c>
      <c r="O495" t="str">
        <f t="shared" si="36"/>
        <v>High</v>
      </c>
      <c r="P495" t="str">
        <f t="shared" si="37"/>
        <v>Less</v>
      </c>
      <c r="Q495" t="str">
        <f t="shared" si="38"/>
        <v>Bad</v>
      </c>
      <c r="R495" t="str">
        <f t="shared" si="39"/>
        <v>High</v>
      </c>
    </row>
    <row r="496" spans="1:18" x14ac:dyDescent="0.45">
      <c r="A496">
        <v>495</v>
      </c>
      <c r="B496">
        <v>20</v>
      </c>
      <c r="C496" t="s">
        <v>13</v>
      </c>
      <c r="D496" t="s">
        <v>14</v>
      </c>
      <c r="E496" t="s">
        <v>51</v>
      </c>
      <c r="F496">
        <v>2.2000000000000002</v>
      </c>
      <c r="G496" t="s">
        <v>16</v>
      </c>
      <c r="H496" t="s">
        <v>23</v>
      </c>
      <c r="I496">
        <v>9.6</v>
      </c>
      <c r="J496">
        <v>8</v>
      </c>
      <c r="K496" t="s">
        <v>24</v>
      </c>
      <c r="L496">
        <v>2</v>
      </c>
      <c r="M496">
        <v>4</v>
      </c>
      <c r="N496" t="str">
        <f t="shared" si="35"/>
        <v>Low</v>
      </c>
      <c r="O496" t="str">
        <f t="shared" si="36"/>
        <v>Average</v>
      </c>
      <c r="P496" t="str">
        <f t="shared" si="37"/>
        <v>High</v>
      </c>
      <c r="Q496" t="str">
        <f t="shared" si="38"/>
        <v>Good</v>
      </c>
      <c r="R496" t="str">
        <f t="shared" si="39"/>
        <v>Medium</v>
      </c>
    </row>
    <row r="497" spans="1:18" x14ac:dyDescent="0.45">
      <c r="A497">
        <v>496</v>
      </c>
      <c r="B497">
        <v>22</v>
      </c>
      <c r="C497" t="s">
        <v>19</v>
      </c>
      <c r="D497" t="s">
        <v>20</v>
      </c>
      <c r="E497" t="s">
        <v>65</v>
      </c>
      <c r="F497">
        <v>3.8</v>
      </c>
      <c r="G497" t="s">
        <v>26</v>
      </c>
      <c r="H497" t="s">
        <v>17</v>
      </c>
      <c r="I497">
        <v>8.4</v>
      </c>
      <c r="J497">
        <v>6</v>
      </c>
      <c r="K497" t="s">
        <v>24</v>
      </c>
      <c r="L497">
        <v>3</v>
      </c>
      <c r="M497">
        <v>7</v>
      </c>
      <c r="N497" t="str">
        <f t="shared" si="35"/>
        <v>Medium</v>
      </c>
      <c r="O497" t="str">
        <f t="shared" si="36"/>
        <v>High</v>
      </c>
      <c r="P497" t="str">
        <f t="shared" si="37"/>
        <v>High</v>
      </c>
      <c r="Q497" t="str">
        <f t="shared" si="38"/>
        <v>Bad</v>
      </c>
      <c r="R497" t="str">
        <f t="shared" si="39"/>
        <v>High</v>
      </c>
    </row>
    <row r="498" spans="1:18" x14ac:dyDescent="0.45">
      <c r="A498">
        <v>497</v>
      </c>
      <c r="B498">
        <v>19</v>
      </c>
      <c r="C498" t="s">
        <v>13</v>
      </c>
      <c r="D498" t="s">
        <v>14</v>
      </c>
      <c r="E498" t="s">
        <v>25</v>
      </c>
      <c r="F498">
        <v>8.5</v>
      </c>
      <c r="G498" t="s">
        <v>16</v>
      </c>
      <c r="H498" t="s">
        <v>17</v>
      </c>
      <c r="I498">
        <v>3.8</v>
      </c>
      <c r="J498">
        <v>5</v>
      </c>
      <c r="K498" t="s">
        <v>18</v>
      </c>
      <c r="L498">
        <v>4</v>
      </c>
      <c r="M498">
        <v>9</v>
      </c>
      <c r="N498" t="str">
        <f t="shared" si="35"/>
        <v>High</v>
      </c>
      <c r="O498" t="str">
        <f t="shared" si="36"/>
        <v>Average</v>
      </c>
      <c r="P498" t="str">
        <f t="shared" si="37"/>
        <v>Less</v>
      </c>
      <c r="Q498" t="str">
        <f t="shared" si="38"/>
        <v>Bad</v>
      </c>
      <c r="R498" t="str">
        <f t="shared" si="39"/>
        <v>High</v>
      </c>
    </row>
    <row r="499" spans="1:18" x14ac:dyDescent="0.45">
      <c r="A499">
        <v>498</v>
      </c>
      <c r="B499">
        <v>21</v>
      </c>
      <c r="C499" t="s">
        <v>19</v>
      </c>
      <c r="D499" t="s">
        <v>20</v>
      </c>
      <c r="E499" t="s">
        <v>43</v>
      </c>
      <c r="F499">
        <v>7.3</v>
      </c>
      <c r="G499" t="s">
        <v>143</v>
      </c>
      <c r="H499" t="s">
        <v>17</v>
      </c>
      <c r="I499">
        <v>4.9000000000000004</v>
      </c>
      <c r="J499">
        <v>6</v>
      </c>
      <c r="K499" t="s">
        <v>24</v>
      </c>
      <c r="L499">
        <v>3</v>
      </c>
      <c r="M499">
        <v>7</v>
      </c>
      <c r="N499" t="str">
        <f t="shared" si="35"/>
        <v>High</v>
      </c>
      <c r="O499" t="str">
        <f t="shared" si="36"/>
        <v>High</v>
      </c>
      <c r="P499" t="str">
        <f t="shared" si="37"/>
        <v>Less</v>
      </c>
      <c r="Q499" t="str">
        <f t="shared" si="38"/>
        <v>Bad</v>
      </c>
      <c r="R499" t="str">
        <f t="shared" si="39"/>
        <v>High</v>
      </c>
    </row>
    <row r="500" spans="1:18" x14ac:dyDescent="0.45">
      <c r="A500">
        <v>499</v>
      </c>
      <c r="B500">
        <v>20</v>
      </c>
      <c r="C500" t="s">
        <v>13</v>
      </c>
      <c r="D500" t="s">
        <v>14</v>
      </c>
      <c r="E500" t="s">
        <v>40</v>
      </c>
      <c r="F500">
        <v>2.8</v>
      </c>
      <c r="G500" t="s">
        <v>16</v>
      </c>
      <c r="H500" t="s">
        <v>23</v>
      </c>
      <c r="I500">
        <v>9.1999999999999993</v>
      </c>
      <c r="J500">
        <v>7</v>
      </c>
      <c r="K500" t="s">
        <v>18</v>
      </c>
      <c r="L500">
        <v>2</v>
      </c>
      <c r="M500">
        <v>5</v>
      </c>
      <c r="N500" t="str">
        <f t="shared" si="35"/>
        <v>Low</v>
      </c>
      <c r="O500" t="str">
        <f t="shared" si="36"/>
        <v>High</v>
      </c>
      <c r="P500" t="str">
        <f t="shared" si="37"/>
        <v>High</v>
      </c>
      <c r="Q500" t="str">
        <f t="shared" si="38"/>
        <v>Bad</v>
      </c>
      <c r="R500" t="str">
        <f t="shared" si="39"/>
        <v>Medium</v>
      </c>
    </row>
    <row r="501" spans="1:18" x14ac:dyDescent="0.45">
      <c r="A501">
        <v>500</v>
      </c>
      <c r="B501">
        <v>22</v>
      </c>
      <c r="C501" t="s">
        <v>19</v>
      </c>
      <c r="D501" t="s">
        <v>20</v>
      </c>
      <c r="E501" t="s">
        <v>31</v>
      </c>
      <c r="F501">
        <v>3.6</v>
      </c>
      <c r="G501" t="s">
        <v>26</v>
      </c>
      <c r="H501" t="s">
        <v>17</v>
      </c>
      <c r="I501">
        <v>8.6</v>
      </c>
      <c r="J501">
        <v>6</v>
      </c>
      <c r="K501" t="s">
        <v>24</v>
      </c>
      <c r="L501">
        <v>3</v>
      </c>
      <c r="M501">
        <v>7</v>
      </c>
      <c r="N501" t="str">
        <f t="shared" si="35"/>
        <v>Medium</v>
      </c>
      <c r="O501" t="str">
        <f t="shared" si="36"/>
        <v>High</v>
      </c>
      <c r="P501" t="str">
        <f t="shared" si="37"/>
        <v>High</v>
      </c>
      <c r="Q501" t="str">
        <f t="shared" si="38"/>
        <v>Bad</v>
      </c>
      <c r="R501" t="str">
        <f t="shared" si="39"/>
        <v>High</v>
      </c>
    </row>
    <row r="502" spans="1:18" x14ac:dyDescent="0.45">
      <c r="A502">
        <v>501</v>
      </c>
      <c r="B502">
        <v>19</v>
      </c>
      <c r="C502" t="s">
        <v>13</v>
      </c>
      <c r="D502" t="s">
        <v>14</v>
      </c>
      <c r="E502" t="s">
        <v>36</v>
      </c>
      <c r="F502">
        <v>6.2</v>
      </c>
      <c r="G502" t="s">
        <v>143</v>
      </c>
      <c r="H502" t="s">
        <v>17</v>
      </c>
      <c r="I502">
        <v>6.3</v>
      </c>
      <c r="J502">
        <v>6</v>
      </c>
      <c r="K502" t="s">
        <v>24</v>
      </c>
      <c r="L502">
        <v>3</v>
      </c>
      <c r="M502">
        <v>7</v>
      </c>
      <c r="N502" t="str">
        <f t="shared" si="35"/>
        <v>Medium</v>
      </c>
      <c r="O502" t="str">
        <f t="shared" si="36"/>
        <v>Average</v>
      </c>
      <c r="P502" t="str">
        <f t="shared" si="37"/>
        <v>Average</v>
      </c>
      <c r="Q502" t="str">
        <f t="shared" si="38"/>
        <v>Bad</v>
      </c>
      <c r="R502" t="str">
        <f t="shared" si="39"/>
        <v>High</v>
      </c>
    </row>
    <row r="503" spans="1:18" x14ac:dyDescent="0.45">
      <c r="A503">
        <v>502</v>
      </c>
      <c r="B503">
        <v>21</v>
      </c>
      <c r="C503" t="s">
        <v>19</v>
      </c>
      <c r="D503" t="s">
        <v>20</v>
      </c>
      <c r="E503" t="s">
        <v>45</v>
      </c>
      <c r="F503">
        <v>4.5</v>
      </c>
      <c r="G503" t="s">
        <v>144</v>
      </c>
      <c r="H503" t="s">
        <v>23</v>
      </c>
      <c r="I503">
        <v>7.8</v>
      </c>
      <c r="J503">
        <v>7</v>
      </c>
      <c r="K503" t="s">
        <v>18</v>
      </c>
      <c r="L503">
        <v>2</v>
      </c>
      <c r="M503">
        <v>5</v>
      </c>
      <c r="N503" t="str">
        <f t="shared" si="35"/>
        <v>Medium</v>
      </c>
      <c r="O503" t="str">
        <f t="shared" si="36"/>
        <v>Average</v>
      </c>
      <c r="P503" t="str">
        <f t="shared" si="37"/>
        <v>High</v>
      </c>
      <c r="Q503" t="str">
        <f t="shared" si="38"/>
        <v>Bad</v>
      </c>
      <c r="R503" t="str">
        <f t="shared" si="39"/>
        <v>Medium</v>
      </c>
    </row>
    <row r="504" spans="1:18" x14ac:dyDescent="0.45">
      <c r="A504">
        <v>503</v>
      </c>
      <c r="B504">
        <v>20</v>
      </c>
      <c r="C504" t="s">
        <v>13</v>
      </c>
      <c r="D504" t="s">
        <v>14</v>
      </c>
      <c r="E504" t="s">
        <v>49</v>
      </c>
      <c r="F504">
        <v>3.8</v>
      </c>
      <c r="G504" t="s">
        <v>16</v>
      </c>
      <c r="H504" t="s">
        <v>23</v>
      </c>
      <c r="I504">
        <v>8.1999999999999993</v>
      </c>
      <c r="J504">
        <v>8</v>
      </c>
      <c r="K504" t="s">
        <v>24</v>
      </c>
      <c r="L504">
        <v>2</v>
      </c>
      <c r="M504">
        <v>4</v>
      </c>
      <c r="N504" t="str">
        <f t="shared" si="35"/>
        <v>Medium</v>
      </c>
      <c r="O504" t="str">
        <f t="shared" si="36"/>
        <v>Average</v>
      </c>
      <c r="P504" t="str">
        <f t="shared" si="37"/>
        <v>High</v>
      </c>
      <c r="Q504" t="str">
        <f t="shared" si="38"/>
        <v>Good</v>
      </c>
      <c r="R504" t="str">
        <f t="shared" si="39"/>
        <v>Medium</v>
      </c>
    </row>
    <row r="505" spans="1:18" x14ac:dyDescent="0.45">
      <c r="A505">
        <v>504</v>
      </c>
      <c r="B505">
        <v>22</v>
      </c>
      <c r="C505" t="s">
        <v>19</v>
      </c>
      <c r="D505" t="s">
        <v>20</v>
      </c>
      <c r="E505" t="s">
        <v>56</v>
      </c>
      <c r="F505">
        <v>4.7</v>
      </c>
      <c r="G505" t="s">
        <v>16</v>
      </c>
      <c r="H505" t="s">
        <v>17</v>
      </c>
      <c r="I505">
        <v>7.5</v>
      </c>
      <c r="J505">
        <v>7</v>
      </c>
      <c r="K505" t="s">
        <v>18</v>
      </c>
      <c r="L505">
        <v>3</v>
      </c>
      <c r="M505">
        <v>6</v>
      </c>
      <c r="N505" t="str">
        <f t="shared" si="35"/>
        <v>Medium</v>
      </c>
      <c r="O505" t="str">
        <f t="shared" si="36"/>
        <v>High</v>
      </c>
      <c r="P505" t="str">
        <f t="shared" si="37"/>
        <v>High</v>
      </c>
      <c r="Q505" t="str">
        <f t="shared" si="38"/>
        <v>Bad</v>
      </c>
      <c r="R505" t="str">
        <f t="shared" si="39"/>
        <v>Medium</v>
      </c>
    </row>
    <row r="506" spans="1:18" x14ac:dyDescent="0.45">
      <c r="A506">
        <v>505</v>
      </c>
      <c r="B506">
        <v>19</v>
      </c>
      <c r="C506" t="s">
        <v>13</v>
      </c>
      <c r="D506" t="s">
        <v>14</v>
      </c>
      <c r="E506" t="s">
        <v>57</v>
      </c>
      <c r="F506">
        <v>5.0999999999999996</v>
      </c>
      <c r="G506" t="s">
        <v>26</v>
      </c>
      <c r="H506" t="s">
        <v>17</v>
      </c>
      <c r="I506">
        <v>7</v>
      </c>
      <c r="J506">
        <v>6</v>
      </c>
      <c r="K506" t="s">
        <v>24</v>
      </c>
      <c r="L506">
        <v>3</v>
      </c>
      <c r="M506">
        <v>7</v>
      </c>
      <c r="N506" t="str">
        <f t="shared" si="35"/>
        <v>Medium</v>
      </c>
      <c r="O506" t="str">
        <f t="shared" si="36"/>
        <v>Average</v>
      </c>
      <c r="P506" t="str">
        <f t="shared" si="37"/>
        <v>Average</v>
      </c>
      <c r="Q506" t="str">
        <f t="shared" si="38"/>
        <v>Bad</v>
      </c>
      <c r="R506" t="str">
        <f t="shared" si="39"/>
        <v>High</v>
      </c>
    </row>
    <row r="507" spans="1:18" x14ac:dyDescent="0.45">
      <c r="A507">
        <v>506</v>
      </c>
      <c r="B507">
        <v>21</v>
      </c>
      <c r="C507" t="s">
        <v>19</v>
      </c>
      <c r="D507" t="s">
        <v>20</v>
      </c>
      <c r="E507" t="s">
        <v>58</v>
      </c>
      <c r="F507">
        <v>5.5</v>
      </c>
      <c r="G507" t="s">
        <v>143</v>
      </c>
      <c r="H507" t="s">
        <v>17</v>
      </c>
      <c r="I507">
        <v>6.8</v>
      </c>
      <c r="J507">
        <v>6</v>
      </c>
      <c r="K507" t="s">
        <v>24</v>
      </c>
      <c r="L507">
        <v>3</v>
      </c>
      <c r="M507">
        <v>7</v>
      </c>
      <c r="N507" t="str">
        <f t="shared" si="35"/>
        <v>Medium</v>
      </c>
      <c r="O507" t="str">
        <f t="shared" si="36"/>
        <v>High</v>
      </c>
      <c r="P507" t="str">
        <f t="shared" si="37"/>
        <v>Average</v>
      </c>
      <c r="Q507" t="str">
        <f t="shared" si="38"/>
        <v>Bad</v>
      </c>
      <c r="R507" t="str">
        <f t="shared" si="39"/>
        <v>High</v>
      </c>
    </row>
    <row r="508" spans="1:18" x14ac:dyDescent="0.45">
      <c r="A508">
        <v>507</v>
      </c>
      <c r="B508">
        <v>20</v>
      </c>
      <c r="C508" t="s">
        <v>13</v>
      </c>
      <c r="D508" t="s">
        <v>14</v>
      </c>
      <c r="E508" t="s">
        <v>67</v>
      </c>
      <c r="F508">
        <v>6.5</v>
      </c>
      <c r="G508" t="s">
        <v>16</v>
      </c>
      <c r="H508" t="s">
        <v>17</v>
      </c>
      <c r="I508">
        <v>6.5</v>
      </c>
      <c r="J508">
        <v>5</v>
      </c>
      <c r="K508" t="s">
        <v>18</v>
      </c>
      <c r="L508">
        <v>4</v>
      </c>
      <c r="M508">
        <v>8</v>
      </c>
      <c r="N508" t="str">
        <f t="shared" si="35"/>
        <v>Medium</v>
      </c>
      <c r="O508" t="str">
        <f t="shared" si="36"/>
        <v>Average</v>
      </c>
      <c r="P508" t="str">
        <f t="shared" si="37"/>
        <v>Average</v>
      </c>
      <c r="Q508" t="str">
        <f t="shared" si="38"/>
        <v>Bad</v>
      </c>
      <c r="R508" t="str">
        <f t="shared" si="39"/>
        <v>High</v>
      </c>
    </row>
    <row r="509" spans="1:18" x14ac:dyDescent="0.45">
      <c r="A509">
        <v>508</v>
      </c>
      <c r="B509">
        <v>22</v>
      </c>
      <c r="C509" t="s">
        <v>19</v>
      </c>
      <c r="D509" t="s">
        <v>20</v>
      </c>
      <c r="E509" t="s">
        <v>90</v>
      </c>
      <c r="F509">
        <v>4.2</v>
      </c>
      <c r="G509" t="s">
        <v>32</v>
      </c>
      <c r="H509" t="s">
        <v>23</v>
      </c>
      <c r="I509">
        <v>7.9</v>
      </c>
      <c r="J509">
        <v>7</v>
      </c>
      <c r="K509" t="s">
        <v>24</v>
      </c>
      <c r="L509">
        <v>2</v>
      </c>
      <c r="M509">
        <v>5</v>
      </c>
      <c r="N509" t="str">
        <f t="shared" si="35"/>
        <v>Medium</v>
      </c>
      <c r="O509" t="str">
        <f t="shared" si="36"/>
        <v>High</v>
      </c>
      <c r="P509" t="str">
        <f t="shared" si="37"/>
        <v>High</v>
      </c>
      <c r="Q509" t="str">
        <f t="shared" si="38"/>
        <v>Bad</v>
      </c>
      <c r="R509" t="str">
        <f t="shared" si="39"/>
        <v>Medium</v>
      </c>
    </row>
    <row r="510" spans="1:18" x14ac:dyDescent="0.45">
      <c r="A510">
        <v>509</v>
      </c>
      <c r="B510">
        <v>19</v>
      </c>
      <c r="C510" t="s">
        <v>13</v>
      </c>
      <c r="D510" t="s">
        <v>14</v>
      </c>
      <c r="E510" t="s">
        <v>21</v>
      </c>
      <c r="F510">
        <v>6.8</v>
      </c>
      <c r="G510" t="s">
        <v>143</v>
      </c>
      <c r="H510" t="s">
        <v>17</v>
      </c>
      <c r="I510">
        <v>6</v>
      </c>
      <c r="J510">
        <v>5</v>
      </c>
      <c r="K510" t="s">
        <v>18</v>
      </c>
      <c r="L510">
        <v>4</v>
      </c>
      <c r="M510">
        <v>8</v>
      </c>
      <c r="N510" t="str">
        <f t="shared" si="35"/>
        <v>High</v>
      </c>
      <c r="O510" t="str">
        <f t="shared" si="36"/>
        <v>High</v>
      </c>
      <c r="P510" t="str">
        <f t="shared" si="37"/>
        <v>Average</v>
      </c>
      <c r="Q510" t="str">
        <f t="shared" si="38"/>
        <v>Bad</v>
      </c>
      <c r="R510" t="str">
        <f t="shared" si="39"/>
        <v>High</v>
      </c>
    </row>
    <row r="511" spans="1:18" x14ac:dyDescent="0.45">
      <c r="A511">
        <v>510</v>
      </c>
      <c r="B511">
        <v>21</v>
      </c>
      <c r="C511" t="s">
        <v>19</v>
      </c>
      <c r="D511" t="s">
        <v>20</v>
      </c>
      <c r="E511" t="s">
        <v>31</v>
      </c>
      <c r="F511">
        <v>4.8</v>
      </c>
      <c r="G511" t="s">
        <v>16</v>
      </c>
      <c r="H511" t="s">
        <v>17</v>
      </c>
      <c r="I511">
        <v>7.4</v>
      </c>
      <c r="J511">
        <v>7</v>
      </c>
      <c r="K511" t="s">
        <v>24</v>
      </c>
      <c r="L511">
        <v>3</v>
      </c>
      <c r="M511">
        <v>6</v>
      </c>
      <c r="N511" t="str">
        <f t="shared" si="35"/>
        <v>Medium</v>
      </c>
      <c r="O511" t="str">
        <f t="shared" si="36"/>
        <v>High</v>
      </c>
      <c r="P511" t="str">
        <f t="shared" si="37"/>
        <v>High</v>
      </c>
      <c r="Q511" t="str">
        <f t="shared" si="38"/>
        <v>Bad</v>
      </c>
      <c r="R511" t="str">
        <f t="shared" si="39"/>
        <v>Medium</v>
      </c>
    </row>
    <row r="512" spans="1:18" x14ac:dyDescent="0.45">
      <c r="A512">
        <v>511</v>
      </c>
      <c r="B512">
        <v>20</v>
      </c>
      <c r="C512" t="s">
        <v>13</v>
      </c>
      <c r="D512" t="s">
        <v>14</v>
      </c>
      <c r="E512" t="s">
        <v>36</v>
      </c>
      <c r="F512">
        <v>6.1</v>
      </c>
      <c r="G512" t="s">
        <v>16</v>
      </c>
      <c r="H512" t="s">
        <v>17</v>
      </c>
      <c r="I512">
        <v>6.4</v>
      </c>
      <c r="J512">
        <v>6</v>
      </c>
      <c r="K512" t="s">
        <v>24</v>
      </c>
      <c r="L512">
        <v>3</v>
      </c>
      <c r="M512">
        <v>7</v>
      </c>
      <c r="N512" t="str">
        <f t="shared" si="35"/>
        <v>Medium</v>
      </c>
      <c r="O512" t="str">
        <f t="shared" si="36"/>
        <v>Average</v>
      </c>
      <c r="P512" t="str">
        <f t="shared" si="37"/>
        <v>Average</v>
      </c>
      <c r="Q512" t="str">
        <f t="shared" si="38"/>
        <v>Bad</v>
      </c>
      <c r="R512" t="str">
        <f t="shared" si="39"/>
        <v>High</v>
      </c>
    </row>
    <row r="513" spans="1:18" x14ac:dyDescent="0.45">
      <c r="A513">
        <v>512</v>
      </c>
      <c r="B513">
        <v>22</v>
      </c>
      <c r="C513" t="s">
        <v>19</v>
      </c>
      <c r="D513" t="s">
        <v>20</v>
      </c>
      <c r="E513" t="s">
        <v>45</v>
      </c>
      <c r="F513">
        <v>4.4000000000000004</v>
      </c>
      <c r="G513" t="s">
        <v>144</v>
      </c>
      <c r="H513" t="s">
        <v>23</v>
      </c>
      <c r="I513">
        <v>7.9</v>
      </c>
      <c r="J513">
        <v>7</v>
      </c>
      <c r="K513" t="s">
        <v>18</v>
      </c>
      <c r="L513">
        <v>2</v>
      </c>
      <c r="M513">
        <v>5</v>
      </c>
      <c r="N513" t="str">
        <f t="shared" si="35"/>
        <v>Medium</v>
      </c>
      <c r="O513" t="str">
        <f t="shared" si="36"/>
        <v>Average</v>
      </c>
      <c r="P513" t="str">
        <f t="shared" si="37"/>
        <v>High</v>
      </c>
      <c r="Q513" t="str">
        <f t="shared" si="38"/>
        <v>Bad</v>
      </c>
      <c r="R513" t="str">
        <f t="shared" si="39"/>
        <v>Medium</v>
      </c>
    </row>
    <row r="514" spans="1:18" x14ac:dyDescent="0.45">
      <c r="A514">
        <v>513</v>
      </c>
      <c r="B514">
        <v>19</v>
      </c>
      <c r="C514" t="s">
        <v>13</v>
      </c>
      <c r="D514" t="s">
        <v>14</v>
      </c>
      <c r="E514" t="s">
        <v>49</v>
      </c>
      <c r="F514">
        <v>3.7</v>
      </c>
      <c r="G514" t="s">
        <v>26</v>
      </c>
      <c r="H514" t="s">
        <v>23</v>
      </c>
      <c r="I514">
        <v>8.3000000000000007</v>
      </c>
      <c r="J514">
        <v>8</v>
      </c>
      <c r="K514" t="s">
        <v>24</v>
      </c>
      <c r="L514">
        <v>2</v>
      </c>
      <c r="M514">
        <v>4</v>
      </c>
      <c r="N514" t="str">
        <f t="shared" si="35"/>
        <v>Medium</v>
      </c>
      <c r="O514" t="str">
        <f t="shared" si="36"/>
        <v>Average</v>
      </c>
      <c r="P514" t="str">
        <f t="shared" si="37"/>
        <v>High</v>
      </c>
      <c r="Q514" t="str">
        <f t="shared" si="38"/>
        <v>Good</v>
      </c>
      <c r="R514" t="str">
        <f t="shared" si="39"/>
        <v>Medium</v>
      </c>
    </row>
    <row r="515" spans="1:18" x14ac:dyDescent="0.45">
      <c r="A515">
        <v>514</v>
      </c>
      <c r="B515">
        <v>21</v>
      </c>
      <c r="C515" t="s">
        <v>19</v>
      </c>
      <c r="D515" t="s">
        <v>20</v>
      </c>
      <c r="E515" t="s">
        <v>56</v>
      </c>
      <c r="F515">
        <v>4.5999999999999996</v>
      </c>
      <c r="G515" t="s">
        <v>16</v>
      </c>
      <c r="H515" t="s">
        <v>17</v>
      </c>
      <c r="I515">
        <v>7.6</v>
      </c>
      <c r="J515">
        <v>7</v>
      </c>
      <c r="K515" t="s">
        <v>18</v>
      </c>
      <c r="L515">
        <v>3</v>
      </c>
      <c r="M515">
        <v>6</v>
      </c>
      <c r="N515" t="str">
        <f t="shared" ref="N515:N578" si="40">IF(AND(F515&gt;=1.5,F515&lt;=3.5),"Low",IF(AND(F515&gt;3.5,F515&lt;=6.5),"Medium","High"))</f>
        <v>Medium</v>
      </c>
      <c r="O515" t="str">
        <f t="shared" ref="O515:O578" si="41">IF(AND(I529&gt;=3.8,I529&lt;=5),"Less",IF(AND(I529&gt;5,I529&lt;=7),"Average","High"))</f>
        <v>High</v>
      </c>
      <c r="P515" t="str">
        <f t="shared" ref="P515:P578" si="42">IF(AND(I515&gt;=3.8,I515&lt;=5),"Less",IF(AND(I515&gt;5,I515&lt;=7),"Average","High"))</f>
        <v>High</v>
      </c>
      <c r="Q515" t="str">
        <f t="shared" si="38"/>
        <v>Bad</v>
      </c>
      <c r="R515" t="str">
        <f t="shared" si="39"/>
        <v>Medium</v>
      </c>
    </row>
    <row r="516" spans="1:18" x14ac:dyDescent="0.45">
      <c r="A516">
        <v>515</v>
      </c>
      <c r="B516">
        <v>20</v>
      </c>
      <c r="C516" t="s">
        <v>13</v>
      </c>
      <c r="D516" t="s">
        <v>14</v>
      </c>
      <c r="E516" t="s">
        <v>57</v>
      </c>
      <c r="F516">
        <v>5.2</v>
      </c>
      <c r="G516" t="s">
        <v>26</v>
      </c>
      <c r="H516" t="s">
        <v>17</v>
      </c>
      <c r="I516">
        <v>6.9</v>
      </c>
      <c r="J516">
        <v>6</v>
      </c>
      <c r="K516" t="s">
        <v>24</v>
      </c>
      <c r="L516">
        <v>3</v>
      </c>
      <c r="M516">
        <v>7</v>
      </c>
      <c r="N516" t="str">
        <f t="shared" si="40"/>
        <v>Medium</v>
      </c>
      <c r="O516" t="str">
        <f t="shared" si="41"/>
        <v>Average</v>
      </c>
      <c r="P516" t="str">
        <f t="shared" si="42"/>
        <v>Average</v>
      </c>
      <c r="Q516" t="str">
        <f t="shared" si="38"/>
        <v>Bad</v>
      </c>
      <c r="R516" t="str">
        <f t="shared" si="39"/>
        <v>High</v>
      </c>
    </row>
    <row r="517" spans="1:18" x14ac:dyDescent="0.45">
      <c r="A517">
        <v>516</v>
      </c>
      <c r="B517">
        <v>22</v>
      </c>
      <c r="C517" t="s">
        <v>19</v>
      </c>
      <c r="D517" t="s">
        <v>20</v>
      </c>
      <c r="E517" t="s">
        <v>58</v>
      </c>
      <c r="F517">
        <v>5.6</v>
      </c>
      <c r="G517" t="s">
        <v>143</v>
      </c>
      <c r="H517" t="s">
        <v>17</v>
      </c>
      <c r="I517">
        <v>6.7</v>
      </c>
      <c r="J517">
        <v>6</v>
      </c>
      <c r="K517" t="s">
        <v>24</v>
      </c>
      <c r="L517">
        <v>3</v>
      </c>
      <c r="M517">
        <v>7</v>
      </c>
      <c r="N517" t="str">
        <f t="shared" si="40"/>
        <v>Medium</v>
      </c>
      <c r="O517" t="str">
        <f t="shared" si="41"/>
        <v>High</v>
      </c>
      <c r="P517" t="str">
        <f t="shared" si="42"/>
        <v>Average</v>
      </c>
      <c r="Q517" t="str">
        <f t="shared" si="38"/>
        <v>Bad</v>
      </c>
      <c r="R517" t="str">
        <f t="shared" si="39"/>
        <v>High</v>
      </c>
    </row>
    <row r="518" spans="1:18" x14ac:dyDescent="0.45">
      <c r="A518">
        <v>517</v>
      </c>
      <c r="B518">
        <v>19</v>
      </c>
      <c r="C518" t="s">
        <v>13</v>
      </c>
      <c r="D518" t="s">
        <v>14</v>
      </c>
      <c r="E518" t="s">
        <v>67</v>
      </c>
      <c r="F518">
        <v>6.6</v>
      </c>
      <c r="G518" t="s">
        <v>16</v>
      </c>
      <c r="H518" t="s">
        <v>17</v>
      </c>
      <c r="I518">
        <v>6.4</v>
      </c>
      <c r="J518">
        <v>5</v>
      </c>
      <c r="K518" t="s">
        <v>18</v>
      </c>
      <c r="L518">
        <v>4</v>
      </c>
      <c r="M518">
        <v>8</v>
      </c>
      <c r="N518" t="str">
        <f t="shared" si="40"/>
        <v>High</v>
      </c>
      <c r="O518" t="str">
        <f t="shared" si="41"/>
        <v>Average</v>
      </c>
      <c r="P518" t="str">
        <f t="shared" si="42"/>
        <v>Average</v>
      </c>
      <c r="Q518" t="str">
        <f t="shared" ref="Q518:Q581" si="43">IF(AND(J518&gt;=0,J518&lt;=4),"Worst",IF(AND(J518&gt;4,J518&lt;=7),"Bad","Good"))</f>
        <v>Bad</v>
      </c>
      <c r="R518" t="str">
        <f t="shared" ref="R518:R581" si="44">IF(AND(M518&gt;0,M518&lt;=3),"Less",IF(AND(M518&gt;3,M518&lt;=6),"Medium","High"))</f>
        <v>High</v>
      </c>
    </row>
    <row r="519" spans="1:18" x14ac:dyDescent="0.45">
      <c r="A519">
        <v>518</v>
      </c>
      <c r="B519">
        <v>21</v>
      </c>
      <c r="C519" t="s">
        <v>19</v>
      </c>
      <c r="D519" t="s">
        <v>20</v>
      </c>
      <c r="E519" t="s">
        <v>90</v>
      </c>
      <c r="F519">
        <v>4.0999999999999996</v>
      </c>
      <c r="G519" t="s">
        <v>32</v>
      </c>
      <c r="H519" t="s">
        <v>23</v>
      </c>
      <c r="I519">
        <v>8</v>
      </c>
      <c r="J519">
        <v>7</v>
      </c>
      <c r="K519" t="s">
        <v>24</v>
      </c>
      <c r="L519">
        <v>2</v>
      </c>
      <c r="M519">
        <v>5</v>
      </c>
      <c r="N519" t="str">
        <f t="shared" si="40"/>
        <v>Medium</v>
      </c>
      <c r="O519" t="str">
        <f t="shared" si="41"/>
        <v>High</v>
      </c>
      <c r="P519" t="str">
        <f t="shared" si="42"/>
        <v>High</v>
      </c>
      <c r="Q519" t="str">
        <f t="shared" si="43"/>
        <v>Bad</v>
      </c>
      <c r="R519" t="str">
        <f t="shared" si="44"/>
        <v>Medium</v>
      </c>
    </row>
    <row r="520" spans="1:18" x14ac:dyDescent="0.45">
      <c r="A520">
        <v>519</v>
      </c>
      <c r="B520">
        <v>20</v>
      </c>
      <c r="C520" t="s">
        <v>13</v>
      </c>
      <c r="D520" t="s">
        <v>14</v>
      </c>
      <c r="E520" t="s">
        <v>21</v>
      </c>
      <c r="F520">
        <v>6.9</v>
      </c>
      <c r="G520" t="s">
        <v>143</v>
      </c>
      <c r="H520" t="s">
        <v>17</v>
      </c>
      <c r="I520">
        <v>5.9</v>
      </c>
      <c r="J520">
        <v>5</v>
      </c>
      <c r="K520" t="s">
        <v>18</v>
      </c>
      <c r="L520">
        <v>4</v>
      </c>
      <c r="M520">
        <v>8</v>
      </c>
      <c r="N520" t="str">
        <f t="shared" si="40"/>
        <v>High</v>
      </c>
      <c r="O520" t="str">
        <f t="shared" si="41"/>
        <v>High</v>
      </c>
      <c r="P520" t="str">
        <f t="shared" si="42"/>
        <v>Average</v>
      </c>
      <c r="Q520" t="str">
        <f t="shared" si="43"/>
        <v>Bad</v>
      </c>
      <c r="R520" t="str">
        <f t="shared" si="44"/>
        <v>High</v>
      </c>
    </row>
    <row r="521" spans="1:18" x14ac:dyDescent="0.45">
      <c r="A521">
        <v>520</v>
      </c>
      <c r="B521">
        <v>22</v>
      </c>
      <c r="C521" t="s">
        <v>19</v>
      </c>
      <c r="D521" t="s">
        <v>20</v>
      </c>
      <c r="E521" t="s">
        <v>31</v>
      </c>
      <c r="F521">
        <v>4.7</v>
      </c>
      <c r="G521" t="s">
        <v>26</v>
      </c>
      <c r="H521" t="s">
        <v>17</v>
      </c>
      <c r="I521">
        <v>7.5</v>
      </c>
      <c r="J521">
        <v>7</v>
      </c>
      <c r="K521" t="s">
        <v>24</v>
      </c>
      <c r="L521">
        <v>3</v>
      </c>
      <c r="M521">
        <v>6</v>
      </c>
      <c r="N521" t="str">
        <f t="shared" si="40"/>
        <v>Medium</v>
      </c>
      <c r="O521" t="str">
        <f t="shared" si="41"/>
        <v>High</v>
      </c>
      <c r="P521" t="str">
        <f t="shared" si="42"/>
        <v>High</v>
      </c>
      <c r="Q521" t="str">
        <f t="shared" si="43"/>
        <v>Bad</v>
      </c>
      <c r="R521" t="str">
        <f t="shared" si="44"/>
        <v>Medium</v>
      </c>
    </row>
    <row r="522" spans="1:18" x14ac:dyDescent="0.45">
      <c r="A522">
        <v>521</v>
      </c>
      <c r="B522">
        <v>19</v>
      </c>
      <c r="C522" t="s">
        <v>13</v>
      </c>
      <c r="D522" t="s">
        <v>14</v>
      </c>
      <c r="E522" t="s">
        <v>36</v>
      </c>
      <c r="F522">
        <v>6</v>
      </c>
      <c r="G522" t="s">
        <v>143</v>
      </c>
      <c r="H522" t="s">
        <v>17</v>
      </c>
      <c r="I522">
        <v>6.5</v>
      </c>
      <c r="J522">
        <v>6</v>
      </c>
      <c r="K522" t="s">
        <v>24</v>
      </c>
      <c r="L522">
        <v>3</v>
      </c>
      <c r="M522">
        <v>7</v>
      </c>
      <c r="N522" t="str">
        <f t="shared" si="40"/>
        <v>Medium</v>
      </c>
      <c r="O522" t="str">
        <f t="shared" si="41"/>
        <v>Average</v>
      </c>
      <c r="P522" t="str">
        <f t="shared" si="42"/>
        <v>Average</v>
      </c>
      <c r="Q522" t="str">
        <f t="shared" si="43"/>
        <v>Bad</v>
      </c>
      <c r="R522" t="str">
        <f t="shared" si="44"/>
        <v>High</v>
      </c>
    </row>
    <row r="523" spans="1:18" x14ac:dyDescent="0.45">
      <c r="A523">
        <v>522</v>
      </c>
      <c r="B523">
        <v>21</v>
      </c>
      <c r="C523" t="s">
        <v>19</v>
      </c>
      <c r="D523" t="s">
        <v>20</v>
      </c>
      <c r="E523" t="s">
        <v>45</v>
      </c>
      <c r="F523">
        <v>4.3</v>
      </c>
      <c r="G523" t="s">
        <v>144</v>
      </c>
      <c r="H523" t="s">
        <v>23</v>
      </c>
      <c r="I523">
        <v>8</v>
      </c>
      <c r="J523">
        <v>7</v>
      </c>
      <c r="K523" t="s">
        <v>18</v>
      </c>
      <c r="L523">
        <v>2</v>
      </c>
      <c r="M523">
        <v>5</v>
      </c>
      <c r="N523" t="str">
        <f t="shared" si="40"/>
        <v>Medium</v>
      </c>
      <c r="O523" t="str">
        <f t="shared" si="41"/>
        <v>Average</v>
      </c>
      <c r="P523" t="str">
        <f t="shared" si="42"/>
        <v>High</v>
      </c>
      <c r="Q523" t="str">
        <f t="shared" si="43"/>
        <v>Bad</v>
      </c>
      <c r="R523" t="str">
        <f t="shared" si="44"/>
        <v>Medium</v>
      </c>
    </row>
    <row r="524" spans="1:18" x14ac:dyDescent="0.45">
      <c r="A524">
        <v>523</v>
      </c>
      <c r="B524">
        <v>20</v>
      </c>
      <c r="C524" t="s">
        <v>13</v>
      </c>
      <c r="D524" t="s">
        <v>14</v>
      </c>
      <c r="E524" t="s">
        <v>49</v>
      </c>
      <c r="F524">
        <v>3.6</v>
      </c>
      <c r="G524" t="s">
        <v>16</v>
      </c>
      <c r="H524" t="s">
        <v>23</v>
      </c>
      <c r="I524">
        <v>8.4</v>
      </c>
      <c r="J524">
        <v>8</v>
      </c>
      <c r="K524" t="s">
        <v>24</v>
      </c>
      <c r="L524">
        <v>2</v>
      </c>
      <c r="M524">
        <v>4</v>
      </c>
      <c r="N524" t="str">
        <f t="shared" si="40"/>
        <v>Medium</v>
      </c>
      <c r="O524" t="str">
        <f t="shared" si="41"/>
        <v>Average</v>
      </c>
      <c r="P524" t="str">
        <f t="shared" si="42"/>
        <v>High</v>
      </c>
      <c r="Q524" t="str">
        <f t="shared" si="43"/>
        <v>Good</v>
      </c>
      <c r="R524" t="str">
        <f t="shared" si="44"/>
        <v>Medium</v>
      </c>
    </row>
    <row r="525" spans="1:18" x14ac:dyDescent="0.45">
      <c r="A525">
        <v>524</v>
      </c>
      <c r="B525">
        <v>22</v>
      </c>
      <c r="C525" t="s">
        <v>19</v>
      </c>
      <c r="D525" t="s">
        <v>20</v>
      </c>
      <c r="E525" t="s">
        <v>56</v>
      </c>
      <c r="F525">
        <v>4.5</v>
      </c>
      <c r="G525" t="s">
        <v>32</v>
      </c>
      <c r="H525" t="s">
        <v>17</v>
      </c>
      <c r="I525">
        <v>7.7</v>
      </c>
      <c r="J525">
        <v>7</v>
      </c>
      <c r="K525" t="s">
        <v>18</v>
      </c>
      <c r="L525">
        <v>3</v>
      </c>
      <c r="M525">
        <v>6</v>
      </c>
      <c r="N525" t="str">
        <f t="shared" si="40"/>
        <v>Medium</v>
      </c>
      <c r="O525" t="str">
        <f t="shared" si="41"/>
        <v>High</v>
      </c>
      <c r="P525" t="str">
        <f t="shared" si="42"/>
        <v>High</v>
      </c>
      <c r="Q525" t="str">
        <f t="shared" si="43"/>
        <v>Bad</v>
      </c>
      <c r="R525" t="str">
        <f t="shared" si="44"/>
        <v>Medium</v>
      </c>
    </row>
    <row r="526" spans="1:18" x14ac:dyDescent="0.45">
      <c r="A526">
        <v>525</v>
      </c>
      <c r="B526">
        <v>19</v>
      </c>
      <c r="C526" t="s">
        <v>13</v>
      </c>
      <c r="D526" t="s">
        <v>14</v>
      </c>
      <c r="E526" t="s">
        <v>57</v>
      </c>
      <c r="F526">
        <v>5.3</v>
      </c>
      <c r="G526" t="s">
        <v>26</v>
      </c>
      <c r="H526" t="s">
        <v>17</v>
      </c>
      <c r="I526">
        <v>6.8</v>
      </c>
      <c r="J526">
        <v>6</v>
      </c>
      <c r="K526" t="s">
        <v>24</v>
      </c>
      <c r="L526">
        <v>3</v>
      </c>
      <c r="M526">
        <v>7</v>
      </c>
      <c r="N526" t="str">
        <f t="shared" si="40"/>
        <v>Medium</v>
      </c>
      <c r="O526" t="str">
        <f t="shared" si="41"/>
        <v>Average</v>
      </c>
      <c r="P526" t="str">
        <f t="shared" si="42"/>
        <v>Average</v>
      </c>
      <c r="Q526" t="str">
        <f t="shared" si="43"/>
        <v>Bad</v>
      </c>
      <c r="R526" t="str">
        <f t="shared" si="44"/>
        <v>High</v>
      </c>
    </row>
    <row r="527" spans="1:18" x14ac:dyDescent="0.45">
      <c r="A527">
        <v>526</v>
      </c>
      <c r="B527">
        <v>21</v>
      </c>
      <c r="C527" t="s">
        <v>19</v>
      </c>
      <c r="D527" t="s">
        <v>20</v>
      </c>
      <c r="E527" t="s">
        <v>58</v>
      </c>
      <c r="F527">
        <v>5.7</v>
      </c>
      <c r="G527" t="s">
        <v>143</v>
      </c>
      <c r="H527" t="s">
        <v>17</v>
      </c>
      <c r="I527">
        <v>6.6</v>
      </c>
      <c r="J527">
        <v>6</v>
      </c>
      <c r="K527" t="s">
        <v>24</v>
      </c>
      <c r="L527">
        <v>3</v>
      </c>
      <c r="M527">
        <v>7</v>
      </c>
      <c r="N527" t="str">
        <f t="shared" si="40"/>
        <v>Medium</v>
      </c>
      <c r="O527" t="str">
        <f t="shared" si="41"/>
        <v>High</v>
      </c>
      <c r="P527" t="str">
        <f t="shared" si="42"/>
        <v>Average</v>
      </c>
      <c r="Q527" t="str">
        <f t="shared" si="43"/>
        <v>Bad</v>
      </c>
      <c r="R527" t="str">
        <f t="shared" si="44"/>
        <v>High</v>
      </c>
    </row>
    <row r="528" spans="1:18" x14ac:dyDescent="0.45">
      <c r="A528">
        <v>527</v>
      </c>
      <c r="B528">
        <v>20</v>
      </c>
      <c r="C528" t="s">
        <v>13</v>
      </c>
      <c r="D528" t="s">
        <v>14</v>
      </c>
      <c r="E528" t="s">
        <v>67</v>
      </c>
      <c r="F528">
        <v>6.7</v>
      </c>
      <c r="G528" t="s">
        <v>16</v>
      </c>
      <c r="H528" t="s">
        <v>17</v>
      </c>
      <c r="I528">
        <v>6.3</v>
      </c>
      <c r="J528">
        <v>5</v>
      </c>
      <c r="K528" t="s">
        <v>18</v>
      </c>
      <c r="L528">
        <v>4</v>
      </c>
      <c r="M528">
        <v>8</v>
      </c>
      <c r="N528" t="str">
        <f t="shared" si="40"/>
        <v>High</v>
      </c>
      <c r="O528" t="str">
        <f t="shared" si="41"/>
        <v>Average</v>
      </c>
      <c r="P528" t="str">
        <f t="shared" si="42"/>
        <v>Average</v>
      </c>
      <c r="Q528" t="str">
        <f t="shared" si="43"/>
        <v>Bad</v>
      </c>
      <c r="R528" t="str">
        <f t="shared" si="44"/>
        <v>High</v>
      </c>
    </row>
    <row r="529" spans="1:18" x14ac:dyDescent="0.45">
      <c r="A529">
        <v>528</v>
      </c>
      <c r="B529">
        <v>22</v>
      </c>
      <c r="C529" t="s">
        <v>19</v>
      </c>
      <c r="D529" t="s">
        <v>20</v>
      </c>
      <c r="E529" t="s">
        <v>90</v>
      </c>
      <c r="F529">
        <v>4</v>
      </c>
      <c r="G529" t="s">
        <v>32</v>
      </c>
      <c r="H529" t="s">
        <v>23</v>
      </c>
      <c r="I529">
        <v>8.1</v>
      </c>
      <c r="J529">
        <v>7</v>
      </c>
      <c r="K529" t="s">
        <v>24</v>
      </c>
      <c r="L529">
        <v>2</v>
      </c>
      <c r="M529">
        <v>5</v>
      </c>
      <c r="N529" t="str">
        <f t="shared" si="40"/>
        <v>Medium</v>
      </c>
      <c r="O529" t="str">
        <f t="shared" si="41"/>
        <v>High</v>
      </c>
      <c r="P529" t="str">
        <f t="shared" si="42"/>
        <v>High</v>
      </c>
      <c r="Q529" t="str">
        <f t="shared" si="43"/>
        <v>Bad</v>
      </c>
      <c r="R529" t="str">
        <f t="shared" si="44"/>
        <v>Medium</v>
      </c>
    </row>
    <row r="530" spans="1:18" x14ac:dyDescent="0.45">
      <c r="A530">
        <v>529</v>
      </c>
      <c r="B530">
        <v>19</v>
      </c>
      <c r="C530" t="s">
        <v>13</v>
      </c>
      <c r="D530" t="s">
        <v>14</v>
      </c>
      <c r="E530" t="s">
        <v>21</v>
      </c>
      <c r="F530">
        <v>7</v>
      </c>
      <c r="G530" t="s">
        <v>143</v>
      </c>
      <c r="H530" t="s">
        <v>17</v>
      </c>
      <c r="I530">
        <v>5.8</v>
      </c>
      <c r="J530">
        <v>5</v>
      </c>
      <c r="K530" t="s">
        <v>18</v>
      </c>
      <c r="L530">
        <v>4</v>
      </c>
      <c r="M530">
        <v>8</v>
      </c>
      <c r="N530" t="str">
        <f t="shared" si="40"/>
        <v>High</v>
      </c>
      <c r="O530" t="str">
        <f t="shared" si="41"/>
        <v>High</v>
      </c>
      <c r="P530" t="str">
        <f t="shared" si="42"/>
        <v>Average</v>
      </c>
      <c r="Q530" t="str">
        <f t="shared" si="43"/>
        <v>Bad</v>
      </c>
      <c r="R530" t="str">
        <f t="shared" si="44"/>
        <v>High</v>
      </c>
    </row>
    <row r="531" spans="1:18" x14ac:dyDescent="0.45">
      <c r="A531">
        <v>530</v>
      </c>
      <c r="B531">
        <v>21</v>
      </c>
      <c r="C531" t="s">
        <v>19</v>
      </c>
      <c r="D531" t="s">
        <v>20</v>
      </c>
      <c r="E531" t="s">
        <v>31</v>
      </c>
      <c r="F531">
        <v>4.5999999999999996</v>
      </c>
      <c r="G531" t="s">
        <v>16</v>
      </c>
      <c r="H531" t="s">
        <v>17</v>
      </c>
      <c r="I531">
        <v>7.6</v>
      </c>
      <c r="J531">
        <v>7</v>
      </c>
      <c r="K531" t="s">
        <v>24</v>
      </c>
      <c r="L531">
        <v>3</v>
      </c>
      <c r="M531">
        <v>6</v>
      </c>
      <c r="N531" t="str">
        <f t="shared" si="40"/>
        <v>Medium</v>
      </c>
      <c r="O531" t="str">
        <f t="shared" si="41"/>
        <v>High</v>
      </c>
      <c r="P531" t="str">
        <f t="shared" si="42"/>
        <v>High</v>
      </c>
      <c r="Q531" t="str">
        <f t="shared" si="43"/>
        <v>Bad</v>
      </c>
      <c r="R531" t="str">
        <f t="shared" si="44"/>
        <v>Medium</v>
      </c>
    </row>
    <row r="532" spans="1:18" x14ac:dyDescent="0.45">
      <c r="A532">
        <v>531</v>
      </c>
      <c r="B532">
        <v>20</v>
      </c>
      <c r="C532" t="s">
        <v>13</v>
      </c>
      <c r="D532" t="s">
        <v>14</v>
      </c>
      <c r="E532" t="s">
        <v>36</v>
      </c>
      <c r="F532">
        <v>5.9</v>
      </c>
      <c r="G532" t="s">
        <v>26</v>
      </c>
      <c r="H532" t="s">
        <v>17</v>
      </c>
      <c r="I532">
        <v>6.6</v>
      </c>
      <c r="J532">
        <v>6</v>
      </c>
      <c r="K532" t="s">
        <v>24</v>
      </c>
      <c r="L532">
        <v>3</v>
      </c>
      <c r="M532">
        <v>7</v>
      </c>
      <c r="N532" t="str">
        <f t="shared" si="40"/>
        <v>Medium</v>
      </c>
      <c r="O532" t="str">
        <f t="shared" si="41"/>
        <v>Average</v>
      </c>
      <c r="P532" t="str">
        <f t="shared" si="42"/>
        <v>Average</v>
      </c>
      <c r="Q532" t="str">
        <f t="shared" si="43"/>
        <v>Bad</v>
      </c>
      <c r="R532" t="str">
        <f t="shared" si="44"/>
        <v>High</v>
      </c>
    </row>
    <row r="533" spans="1:18" x14ac:dyDescent="0.45">
      <c r="A533">
        <v>532</v>
      </c>
      <c r="B533">
        <v>22</v>
      </c>
      <c r="C533" t="s">
        <v>19</v>
      </c>
      <c r="D533" t="s">
        <v>20</v>
      </c>
      <c r="E533" t="s">
        <v>45</v>
      </c>
      <c r="F533">
        <v>4.2</v>
      </c>
      <c r="G533" t="s">
        <v>144</v>
      </c>
      <c r="H533" t="s">
        <v>23</v>
      </c>
      <c r="I533">
        <v>8.1</v>
      </c>
      <c r="J533">
        <v>7</v>
      </c>
      <c r="K533" t="s">
        <v>18</v>
      </c>
      <c r="L533">
        <v>2</v>
      </c>
      <c r="M533">
        <v>5</v>
      </c>
      <c r="N533" t="str">
        <f t="shared" si="40"/>
        <v>Medium</v>
      </c>
      <c r="O533" t="str">
        <f t="shared" si="41"/>
        <v>Average</v>
      </c>
      <c r="P533" t="str">
        <f t="shared" si="42"/>
        <v>High</v>
      </c>
      <c r="Q533" t="str">
        <f t="shared" si="43"/>
        <v>Bad</v>
      </c>
      <c r="R533" t="str">
        <f t="shared" si="44"/>
        <v>Medium</v>
      </c>
    </row>
    <row r="534" spans="1:18" x14ac:dyDescent="0.45">
      <c r="A534">
        <v>533</v>
      </c>
      <c r="B534">
        <v>19</v>
      </c>
      <c r="C534" t="s">
        <v>13</v>
      </c>
      <c r="D534" t="s">
        <v>14</v>
      </c>
      <c r="E534" t="s">
        <v>49</v>
      </c>
      <c r="F534">
        <v>3.5</v>
      </c>
      <c r="G534" t="s">
        <v>16</v>
      </c>
      <c r="H534" t="s">
        <v>23</v>
      </c>
      <c r="I534">
        <v>8.5</v>
      </c>
      <c r="J534">
        <v>8</v>
      </c>
      <c r="K534" t="s">
        <v>24</v>
      </c>
      <c r="L534">
        <v>2</v>
      </c>
      <c r="M534">
        <v>4</v>
      </c>
      <c r="N534" t="str">
        <f t="shared" si="40"/>
        <v>Low</v>
      </c>
      <c r="O534" t="str">
        <f t="shared" si="41"/>
        <v>Average</v>
      </c>
      <c r="P534" t="str">
        <f t="shared" si="42"/>
        <v>High</v>
      </c>
      <c r="Q534" t="str">
        <f t="shared" si="43"/>
        <v>Good</v>
      </c>
      <c r="R534" t="str">
        <f t="shared" si="44"/>
        <v>Medium</v>
      </c>
    </row>
    <row r="535" spans="1:18" x14ac:dyDescent="0.45">
      <c r="A535">
        <v>534</v>
      </c>
      <c r="B535">
        <v>21</v>
      </c>
      <c r="C535" t="s">
        <v>19</v>
      </c>
      <c r="D535" t="s">
        <v>20</v>
      </c>
      <c r="E535" t="s">
        <v>56</v>
      </c>
      <c r="F535">
        <v>4.4000000000000004</v>
      </c>
      <c r="G535" t="s">
        <v>32</v>
      </c>
      <c r="H535" t="s">
        <v>17</v>
      </c>
      <c r="I535">
        <v>7.8</v>
      </c>
      <c r="J535">
        <v>7</v>
      </c>
      <c r="K535" t="s">
        <v>18</v>
      </c>
      <c r="L535">
        <v>3</v>
      </c>
      <c r="M535">
        <v>6</v>
      </c>
      <c r="N535" t="str">
        <f t="shared" si="40"/>
        <v>Medium</v>
      </c>
      <c r="O535" t="str">
        <f t="shared" si="41"/>
        <v>High</v>
      </c>
      <c r="P535" t="str">
        <f t="shared" si="42"/>
        <v>High</v>
      </c>
      <c r="Q535" t="str">
        <f t="shared" si="43"/>
        <v>Bad</v>
      </c>
      <c r="R535" t="str">
        <f t="shared" si="44"/>
        <v>Medium</v>
      </c>
    </row>
    <row r="536" spans="1:18" x14ac:dyDescent="0.45">
      <c r="A536">
        <v>535</v>
      </c>
      <c r="B536">
        <v>20</v>
      </c>
      <c r="C536" t="s">
        <v>13</v>
      </c>
      <c r="D536" t="s">
        <v>14</v>
      </c>
      <c r="E536" t="s">
        <v>57</v>
      </c>
      <c r="F536">
        <v>5.4</v>
      </c>
      <c r="G536" t="s">
        <v>26</v>
      </c>
      <c r="H536" t="s">
        <v>17</v>
      </c>
      <c r="I536">
        <v>6.7</v>
      </c>
      <c r="J536">
        <v>6</v>
      </c>
      <c r="K536" t="s">
        <v>24</v>
      </c>
      <c r="L536">
        <v>3</v>
      </c>
      <c r="M536">
        <v>7</v>
      </c>
      <c r="N536" t="str">
        <f t="shared" si="40"/>
        <v>Medium</v>
      </c>
      <c r="O536" t="str">
        <f t="shared" si="41"/>
        <v>Average</v>
      </c>
      <c r="P536" t="str">
        <f t="shared" si="42"/>
        <v>Average</v>
      </c>
      <c r="Q536" t="str">
        <f t="shared" si="43"/>
        <v>Bad</v>
      </c>
      <c r="R536" t="str">
        <f t="shared" si="44"/>
        <v>High</v>
      </c>
    </row>
    <row r="537" spans="1:18" x14ac:dyDescent="0.45">
      <c r="A537">
        <v>536</v>
      </c>
      <c r="B537">
        <v>22</v>
      </c>
      <c r="C537" t="s">
        <v>19</v>
      </c>
      <c r="D537" t="s">
        <v>20</v>
      </c>
      <c r="E537" t="s">
        <v>58</v>
      </c>
      <c r="F537">
        <v>5.8</v>
      </c>
      <c r="G537" t="s">
        <v>143</v>
      </c>
      <c r="H537" t="s">
        <v>17</v>
      </c>
      <c r="I537">
        <v>6.5</v>
      </c>
      <c r="J537">
        <v>6</v>
      </c>
      <c r="K537" t="s">
        <v>24</v>
      </c>
      <c r="L537">
        <v>3</v>
      </c>
      <c r="M537">
        <v>7</v>
      </c>
      <c r="N537" t="str">
        <f t="shared" si="40"/>
        <v>Medium</v>
      </c>
      <c r="O537" t="str">
        <f t="shared" si="41"/>
        <v>High</v>
      </c>
      <c r="P537" t="str">
        <f t="shared" si="42"/>
        <v>Average</v>
      </c>
      <c r="Q537" t="str">
        <f t="shared" si="43"/>
        <v>Bad</v>
      </c>
      <c r="R537" t="str">
        <f t="shared" si="44"/>
        <v>High</v>
      </c>
    </row>
    <row r="538" spans="1:18" x14ac:dyDescent="0.45">
      <c r="A538">
        <v>537</v>
      </c>
      <c r="B538">
        <v>19</v>
      </c>
      <c r="C538" t="s">
        <v>13</v>
      </c>
      <c r="D538" t="s">
        <v>14</v>
      </c>
      <c r="E538" t="s">
        <v>67</v>
      </c>
      <c r="F538">
        <v>6.8</v>
      </c>
      <c r="G538" t="s">
        <v>16</v>
      </c>
      <c r="H538" t="s">
        <v>17</v>
      </c>
      <c r="I538">
        <v>6.2</v>
      </c>
      <c r="J538">
        <v>5</v>
      </c>
      <c r="K538" t="s">
        <v>18</v>
      </c>
      <c r="L538">
        <v>4</v>
      </c>
      <c r="M538">
        <v>8</v>
      </c>
      <c r="N538" t="str">
        <f t="shared" si="40"/>
        <v>High</v>
      </c>
      <c r="O538" t="str">
        <f t="shared" si="41"/>
        <v>Average</v>
      </c>
      <c r="P538" t="str">
        <f t="shared" si="42"/>
        <v>Average</v>
      </c>
      <c r="Q538" t="str">
        <f t="shared" si="43"/>
        <v>Bad</v>
      </c>
      <c r="R538" t="str">
        <f t="shared" si="44"/>
        <v>High</v>
      </c>
    </row>
    <row r="539" spans="1:18" x14ac:dyDescent="0.45">
      <c r="A539">
        <v>538</v>
      </c>
      <c r="B539">
        <v>21</v>
      </c>
      <c r="C539" t="s">
        <v>19</v>
      </c>
      <c r="D539" t="s">
        <v>20</v>
      </c>
      <c r="E539" t="s">
        <v>90</v>
      </c>
      <c r="F539">
        <v>3.9</v>
      </c>
      <c r="G539" t="s">
        <v>32</v>
      </c>
      <c r="H539" t="s">
        <v>23</v>
      </c>
      <c r="I539">
        <v>8.1999999999999993</v>
      </c>
      <c r="J539">
        <v>7</v>
      </c>
      <c r="K539" t="s">
        <v>24</v>
      </c>
      <c r="L539">
        <v>2</v>
      </c>
      <c r="M539">
        <v>5</v>
      </c>
      <c r="N539" t="str">
        <f t="shared" si="40"/>
        <v>Medium</v>
      </c>
      <c r="O539" t="str">
        <f t="shared" si="41"/>
        <v>High</v>
      </c>
      <c r="P539" t="str">
        <f t="shared" si="42"/>
        <v>High</v>
      </c>
      <c r="Q539" t="str">
        <f t="shared" si="43"/>
        <v>Bad</v>
      </c>
      <c r="R539" t="str">
        <f t="shared" si="44"/>
        <v>Medium</v>
      </c>
    </row>
    <row r="540" spans="1:18" x14ac:dyDescent="0.45">
      <c r="A540">
        <v>539</v>
      </c>
      <c r="B540">
        <v>20</v>
      </c>
      <c r="C540" t="s">
        <v>13</v>
      </c>
      <c r="D540" t="s">
        <v>14</v>
      </c>
      <c r="E540" t="s">
        <v>21</v>
      </c>
      <c r="F540">
        <v>7.1</v>
      </c>
      <c r="G540" t="s">
        <v>143</v>
      </c>
      <c r="H540" t="s">
        <v>17</v>
      </c>
      <c r="I540">
        <v>5.7</v>
      </c>
      <c r="J540">
        <v>5</v>
      </c>
      <c r="K540" t="s">
        <v>18</v>
      </c>
      <c r="L540">
        <v>4</v>
      </c>
      <c r="M540">
        <v>8</v>
      </c>
      <c r="N540" t="str">
        <f t="shared" si="40"/>
        <v>High</v>
      </c>
      <c r="O540" t="str">
        <f t="shared" si="41"/>
        <v>High</v>
      </c>
      <c r="P540" t="str">
        <f t="shared" si="42"/>
        <v>Average</v>
      </c>
      <c r="Q540" t="str">
        <f t="shared" si="43"/>
        <v>Bad</v>
      </c>
      <c r="R540" t="str">
        <f t="shared" si="44"/>
        <v>High</v>
      </c>
    </row>
    <row r="541" spans="1:18" x14ac:dyDescent="0.45">
      <c r="A541">
        <v>540</v>
      </c>
      <c r="B541">
        <v>22</v>
      </c>
      <c r="C541" t="s">
        <v>19</v>
      </c>
      <c r="D541" t="s">
        <v>20</v>
      </c>
      <c r="E541" t="s">
        <v>31</v>
      </c>
      <c r="F541">
        <v>4.5</v>
      </c>
      <c r="G541" t="s">
        <v>26</v>
      </c>
      <c r="H541" t="s">
        <v>17</v>
      </c>
      <c r="I541">
        <v>7.7</v>
      </c>
      <c r="J541">
        <v>7</v>
      </c>
      <c r="K541" t="s">
        <v>24</v>
      </c>
      <c r="L541">
        <v>3</v>
      </c>
      <c r="M541">
        <v>6</v>
      </c>
      <c r="N541" t="str">
        <f t="shared" si="40"/>
        <v>Medium</v>
      </c>
      <c r="O541" t="str">
        <f t="shared" si="41"/>
        <v>High</v>
      </c>
      <c r="P541" t="str">
        <f t="shared" si="42"/>
        <v>High</v>
      </c>
      <c r="Q541" t="str">
        <f t="shared" si="43"/>
        <v>Bad</v>
      </c>
      <c r="R541" t="str">
        <f t="shared" si="44"/>
        <v>Medium</v>
      </c>
    </row>
    <row r="542" spans="1:18" x14ac:dyDescent="0.45">
      <c r="A542">
        <v>541</v>
      </c>
      <c r="B542">
        <v>19</v>
      </c>
      <c r="C542" t="s">
        <v>13</v>
      </c>
      <c r="D542" t="s">
        <v>14</v>
      </c>
      <c r="E542" t="s">
        <v>36</v>
      </c>
      <c r="F542">
        <v>5.8</v>
      </c>
      <c r="G542" t="s">
        <v>143</v>
      </c>
      <c r="H542" t="s">
        <v>17</v>
      </c>
      <c r="I542">
        <v>6.7</v>
      </c>
      <c r="J542">
        <v>6</v>
      </c>
      <c r="K542" t="s">
        <v>24</v>
      </c>
      <c r="L542">
        <v>3</v>
      </c>
      <c r="M542">
        <v>7</v>
      </c>
      <c r="N542" t="str">
        <f t="shared" si="40"/>
        <v>Medium</v>
      </c>
      <c r="O542" t="str">
        <f t="shared" si="41"/>
        <v>Average</v>
      </c>
      <c r="P542" t="str">
        <f t="shared" si="42"/>
        <v>Average</v>
      </c>
      <c r="Q542" t="str">
        <f t="shared" si="43"/>
        <v>Bad</v>
      </c>
      <c r="R542" t="str">
        <f t="shared" si="44"/>
        <v>High</v>
      </c>
    </row>
    <row r="543" spans="1:18" x14ac:dyDescent="0.45">
      <c r="A543">
        <v>542</v>
      </c>
      <c r="B543">
        <v>21</v>
      </c>
      <c r="C543" t="s">
        <v>19</v>
      </c>
      <c r="D543" t="s">
        <v>20</v>
      </c>
      <c r="E543" t="s">
        <v>45</v>
      </c>
      <c r="F543">
        <v>4.0999999999999996</v>
      </c>
      <c r="G543" t="s">
        <v>144</v>
      </c>
      <c r="H543" t="s">
        <v>23</v>
      </c>
      <c r="I543">
        <v>8.1999999999999993</v>
      </c>
      <c r="J543">
        <v>7</v>
      </c>
      <c r="K543" t="s">
        <v>18</v>
      </c>
      <c r="L543">
        <v>2</v>
      </c>
      <c r="M543">
        <v>5</v>
      </c>
      <c r="N543" t="str">
        <f t="shared" si="40"/>
        <v>Medium</v>
      </c>
      <c r="O543" t="str">
        <f t="shared" si="41"/>
        <v>Average</v>
      </c>
      <c r="P543" t="str">
        <f t="shared" si="42"/>
        <v>High</v>
      </c>
      <c r="Q543" t="str">
        <f t="shared" si="43"/>
        <v>Bad</v>
      </c>
      <c r="R543" t="str">
        <f t="shared" si="44"/>
        <v>Medium</v>
      </c>
    </row>
    <row r="544" spans="1:18" x14ac:dyDescent="0.45">
      <c r="A544">
        <v>543</v>
      </c>
      <c r="B544">
        <v>20</v>
      </c>
      <c r="C544" t="s">
        <v>13</v>
      </c>
      <c r="D544" t="s">
        <v>14</v>
      </c>
      <c r="E544" t="s">
        <v>49</v>
      </c>
      <c r="F544">
        <v>3.4</v>
      </c>
      <c r="G544" t="s">
        <v>16</v>
      </c>
      <c r="H544" t="s">
        <v>23</v>
      </c>
      <c r="I544">
        <v>8.6</v>
      </c>
      <c r="J544">
        <v>8</v>
      </c>
      <c r="K544" t="s">
        <v>24</v>
      </c>
      <c r="L544">
        <v>2</v>
      </c>
      <c r="M544">
        <v>4</v>
      </c>
      <c r="N544" t="str">
        <f t="shared" si="40"/>
        <v>Low</v>
      </c>
      <c r="O544" t="str">
        <f t="shared" si="41"/>
        <v>Average</v>
      </c>
      <c r="P544" t="str">
        <f t="shared" si="42"/>
        <v>High</v>
      </c>
      <c r="Q544" t="str">
        <f t="shared" si="43"/>
        <v>Good</v>
      </c>
      <c r="R544" t="str">
        <f t="shared" si="44"/>
        <v>Medium</v>
      </c>
    </row>
    <row r="545" spans="1:18" x14ac:dyDescent="0.45">
      <c r="A545">
        <v>544</v>
      </c>
      <c r="B545">
        <v>22</v>
      </c>
      <c r="C545" t="s">
        <v>19</v>
      </c>
      <c r="D545" t="s">
        <v>20</v>
      </c>
      <c r="E545" t="s">
        <v>56</v>
      </c>
      <c r="F545">
        <v>4.3</v>
      </c>
      <c r="G545" t="s">
        <v>16</v>
      </c>
      <c r="H545" t="s">
        <v>17</v>
      </c>
      <c r="I545">
        <v>7.9</v>
      </c>
      <c r="J545">
        <v>7</v>
      </c>
      <c r="K545" t="s">
        <v>18</v>
      </c>
      <c r="L545">
        <v>3</v>
      </c>
      <c r="M545">
        <v>6</v>
      </c>
      <c r="N545" t="str">
        <f t="shared" si="40"/>
        <v>Medium</v>
      </c>
      <c r="O545" t="str">
        <f t="shared" si="41"/>
        <v>High</v>
      </c>
      <c r="P545" t="str">
        <f t="shared" si="42"/>
        <v>High</v>
      </c>
      <c r="Q545" t="str">
        <f t="shared" si="43"/>
        <v>Bad</v>
      </c>
      <c r="R545" t="str">
        <f t="shared" si="44"/>
        <v>Medium</v>
      </c>
    </row>
    <row r="546" spans="1:18" x14ac:dyDescent="0.45">
      <c r="A546">
        <v>545</v>
      </c>
      <c r="B546">
        <v>19</v>
      </c>
      <c r="C546" t="s">
        <v>13</v>
      </c>
      <c r="D546" t="s">
        <v>14</v>
      </c>
      <c r="E546" t="s">
        <v>57</v>
      </c>
      <c r="F546">
        <v>5.5</v>
      </c>
      <c r="G546" t="s">
        <v>26</v>
      </c>
      <c r="H546" t="s">
        <v>17</v>
      </c>
      <c r="I546">
        <v>6.6</v>
      </c>
      <c r="J546">
        <v>6</v>
      </c>
      <c r="K546" t="s">
        <v>24</v>
      </c>
      <c r="L546">
        <v>3</v>
      </c>
      <c r="M546">
        <v>7</v>
      </c>
      <c r="N546" t="str">
        <f t="shared" si="40"/>
        <v>Medium</v>
      </c>
      <c r="O546" t="str">
        <f t="shared" si="41"/>
        <v>Average</v>
      </c>
      <c r="P546" t="str">
        <f t="shared" si="42"/>
        <v>Average</v>
      </c>
      <c r="Q546" t="str">
        <f t="shared" si="43"/>
        <v>Bad</v>
      </c>
      <c r="R546" t="str">
        <f t="shared" si="44"/>
        <v>High</v>
      </c>
    </row>
    <row r="547" spans="1:18" x14ac:dyDescent="0.45">
      <c r="A547">
        <v>546</v>
      </c>
      <c r="B547">
        <v>21</v>
      </c>
      <c r="C547" t="s">
        <v>19</v>
      </c>
      <c r="D547" t="s">
        <v>20</v>
      </c>
      <c r="E547" t="s">
        <v>58</v>
      </c>
      <c r="F547">
        <v>5.9</v>
      </c>
      <c r="G547" t="s">
        <v>143</v>
      </c>
      <c r="H547" t="s">
        <v>17</v>
      </c>
      <c r="I547">
        <v>6.4</v>
      </c>
      <c r="J547">
        <v>6</v>
      </c>
      <c r="K547" t="s">
        <v>24</v>
      </c>
      <c r="L547">
        <v>3</v>
      </c>
      <c r="M547">
        <v>7</v>
      </c>
      <c r="N547" t="str">
        <f t="shared" si="40"/>
        <v>Medium</v>
      </c>
      <c r="O547" t="str">
        <f t="shared" si="41"/>
        <v>High</v>
      </c>
      <c r="P547" t="str">
        <f t="shared" si="42"/>
        <v>Average</v>
      </c>
      <c r="Q547" t="str">
        <f t="shared" si="43"/>
        <v>Bad</v>
      </c>
      <c r="R547" t="str">
        <f t="shared" si="44"/>
        <v>High</v>
      </c>
    </row>
    <row r="548" spans="1:18" x14ac:dyDescent="0.45">
      <c r="A548">
        <v>547</v>
      </c>
      <c r="B548">
        <v>20</v>
      </c>
      <c r="C548" t="s">
        <v>13</v>
      </c>
      <c r="D548" t="s">
        <v>14</v>
      </c>
      <c r="E548" t="s">
        <v>67</v>
      </c>
      <c r="F548">
        <v>6.9</v>
      </c>
      <c r="G548" t="s">
        <v>16</v>
      </c>
      <c r="H548" t="s">
        <v>17</v>
      </c>
      <c r="I548">
        <v>6.1</v>
      </c>
      <c r="J548">
        <v>5</v>
      </c>
      <c r="K548" t="s">
        <v>18</v>
      </c>
      <c r="L548">
        <v>4</v>
      </c>
      <c r="M548">
        <v>8</v>
      </c>
      <c r="N548" t="str">
        <f t="shared" si="40"/>
        <v>High</v>
      </c>
      <c r="O548" t="str">
        <f t="shared" si="41"/>
        <v>Average</v>
      </c>
      <c r="P548" t="str">
        <f t="shared" si="42"/>
        <v>Average</v>
      </c>
      <c r="Q548" t="str">
        <f t="shared" si="43"/>
        <v>Bad</v>
      </c>
      <c r="R548" t="str">
        <f t="shared" si="44"/>
        <v>High</v>
      </c>
    </row>
    <row r="549" spans="1:18" x14ac:dyDescent="0.45">
      <c r="A549">
        <v>548</v>
      </c>
      <c r="B549">
        <v>22</v>
      </c>
      <c r="C549" t="s">
        <v>19</v>
      </c>
      <c r="D549" t="s">
        <v>20</v>
      </c>
      <c r="E549" t="s">
        <v>90</v>
      </c>
      <c r="F549">
        <v>3.8</v>
      </c>
      <c r="G549" t="s">
        <v>32</v>
      </c>
      <c r="H549" t="s">
        <v>23</v>
      </c>
      <c r="I549">
        <v>8.3000000000000007</v>
      </c>
      <c r="J549">
        <v>7</v>
      </c>
      <c r="K549" t="s">
        <v>24</v>
      </c>
      <c r="L549">
        <v>2</v>
      </c>
      <c r="M549">
        <v>5</v>
      </c>
      <c r="N549" t="str">
        <f t="shared" si="40"/>
        <v>Medium</v>
      </c>
      <c r="O549" t="str">
        <f t="shared" si="41"/>
        <v>High</v>
      </c>
      <c r="P549" t="str">
        <f t="shared" si="42"/>
        <v>High</v>
      </c>
      <c r="Q549" t="str">
        <f t="shared" si="43"/>
        <v>Bad</v>
      </c>
      <c r="R549" t="str">
        <f t="shared" si="44"/>
        <v>Medium</v>
      </c>
    </row>
    <row r="550" spans="1:18" x14ac:dyDescent="0.45">
      <c r="A550">
        <v>549</v>
      </c>
      <c r="B550">
        <v>19</v>
      </c>
      <c r="C550" t="s">
        <v>13</v>
      </c>
      <c r="D550" t="s">
        <v>14</v>
      </c>
      <c r="E550" t="s">
        <v>21</v>
      </c>
      <c r="F550">
        <v>7.2</v>
      </c>
      <c r="G550" t="s">
        <v>143</v>
      </c>
      <c r="H550" t="s">
        <v>17</v>
      </c>
      <c r="I550">
        <v>5.6</v>
      </c>
      <c r="J550">
        <v>5</v>
      </c>
      <c r="K550" t="s">
        <v>18</v>
      </c>
      <c r="L550">
        <v>4</v>
      </c>
      <c r="M550">
        <v>8</v>
      </c>
      <c r="N550" t="str">
        <f t="shared" si="40"/>
        <v>High</v>
      </c>
      <c r="O550" t="str">
        <f t="shared" si="41"/>
        <v>High</v>
      </c>
      <c r="P550" t="str">
        <f t="shared" si="42"/>
        <v>Average</v>
      </c>
      <c r="Q550" t="str">
        <f t="shared" si="43"/>
        <v>Bad</v>
      </c>
      <c r="R550" t="str">
        <f t="shared" si="44"/>
        <v>High</v>
      </c>
    </row>
    <row r="551" spans="1:18" x14ac:dyDescent="0.45">
      <c r="A551">
        <v>550</v>
      </c>
      <c r="B551">
        <v>21</v>
      </c>
      <c r="C551" t="s">
        <v>19</v>
      </c>
      <c r="D551" t="s">
        <v>20</v>
      </c>
      <c r="E551" t="s">
        <v>31</v>
      </c>
      <c r="F551">
        <v>4.4000000000000004</v>
      </c>
      <c r="G551" t="s">
        <v>16</v>
      </c>
      <c r="H551" t="s">
        <v>17</v>
      </c>
      <c r="I551">
        <v>7.8</v>
      </c>
      <c r="J551">
        <v>7</v>
      </c>
      <c r="K551" t="s">
        <v>24</v>
      </c>
      <c r="L551">
        <v>3</v>
      </c>
      <c r="M551">
        <v>6</v>
      </c>
      <c r="N551" t="str">
        <f t="shared" si="40"/>
        <v>Medium</v>
      </c>
      <c r="O551" t="str">
        <f t="shared" si="41"/>
        <v>High</v>
      </c>
      <c r="P551" t="str">
        <f t="shared" si="42"/>
        <v>High</v>
      </c>
      <c r="Q551" t="str">
        <f t="shared" si="43"/>
        <v>Bad</v>
      </c>
      <c r="R551" t="str">
        <f t="shared" si="44"/>
        <v>Medium</v>
      </c>
    </row>
    <row r="552" spans="1:18" x14ac:dyDescent="0.45">
      <c r="A552">
        <v>551</v>
      </c>
      <c r="B552">
        <v>20</v>
      </c>
      <c r="C552" t="s">
        <v>13</v>
      </c>
      <c r="D552" t="s">
        <v>14</v>
      </c>
      <c r="E552" t="s">
        <v>36</v>
      </c>
      <c r="F552">
        <v>5.7</v>
      </c>
      <c r="G552" t="s">
        <v>26</v>
      </c>
      <c r="H552" t="s">
        <v>17</v>
      </c>
      <c r="I552">
        <v>6.8</v>
      </c>
      <c r="J552">
        <v>6</v>
      </c>
      <c r="K552" t="s">
        <v>24</v>
      </c>
      <c r="L552">
        <v>3</v>
      </c>
      <c r="M552">
        <v>7</v>
      </c>
      <c r="N552" t="str">
        <f t="shared" si="40"/>
        <v>Medium</v>
      </c>
      <c r="O552" t="str">
        <f t="shared" si="41"/>
        <v>Average</v>
      </c>
      <c r="P552" t="str">
        <f t="shared" si="42"/>
        <v>Average</v>
      </c>
      <c r="Q552" t="str">
        <f t="shared" si="43"/>
        <v>Bad</v>
      </c>
      <c r="R552" t="str">
        <f t="shared" si="44"/>
        <v>High</v>
      </c>
    </row>
    <row r="553" spans="1:18" x14ac:dyDescent="0.45">
      <c r="A553">
        <v>552</v>
      </c>
      <c r="B553">
        <v>22</v>
      </c>
      <c r="C553" t="s">
        <v>19</v>
      </c>
      <c r="D553" t="s">
        <v>20</v>
      </c>
      <c r="E553" t="s">
        <v>45</v>
      </c>
      <c r="F553">
        <v>4</v>
      </c>
      <c r="G553" t="s">
        <v>144</v>
      </c>
      <c r="H553" t="s">
        <v>23</v>
      </c>
      <c r="I553">
        <v>8.3000000000000007</v>
      </c>
      <c r="J553">
        <v>7</v>
      </c>
      <c r="K553" t="s">
        <v>18</v>
      </c>
      <c r="L553">
        <v>2</v>
      </c>
      <c r="M553">
        <v>5</v>
      </c>
      <c r="N553" t="str">
        <f t="shared" si="40"/>
        <v>Medium</v>
      </c>
      <c r="O553" t="str">
        <f t="shared" si="41"/>
        <v>Average</v>
      </c>
      <c r="P553" t="str">
        <f t="shared" si="42"/>
        <v>High</v>
      </c>
      <c r="Q553" t="str">
        <f t="shared" si="43"/>
        <v>Bad</v>
      </c>
      <c r="R553" t="str">
        <f t="shared" si="44"/>
        <v>Medium</v>
      </c>
    </row>
    <row r="554" spans="1:18" x14ac:dyDescent="0.45">
      <c r="A554">
        <v>553</v>
      </c>
      <c r="B554">
        <v>19</v>
      </c>
      <c r="C554" t="s">
        <v>13</v>
      </c>
      <c r="D554" t="s">
        <v>14</v>
      </c>
      <c r="E554" t="s">
        <v>49</v>
      </c>
      <c r="F554">
        <v>3.3</v>
      </c>
      <c r="G554" t="s">
        <v>16</v>
      </c>
      <c r="H554" t="s">
        <v>23</v>
      </c>
      <c r="I554">
        <v>8.6999999999999993</v>
      </c>
      <c r="J554">
        <v>8</v>
      </c>
      <c r="K554" t="s">
        <v>24</v>
      </c>
      <c r="L554">
        <v>2</v>
      </c>
      <c r="M554">
        <v>4</v>
      </c>
      <c r="N554" t="str">
        <f t="shared" si="40"/>
        <v>Low</v>
      </c>
      <c r="O554" t="str">
        <f t="shared" si="41"/>
        <v>Average</v>
      </c>
      <c r="P554" t="str">
        <f t="shared" si="42"/>
        <v>High</v>
      </c>
      <c r="Q554" t="str">
        <f t="shared" si="43"/>
        <v>Good</v>
      </c>
      <c r="R554" t="str">
        <f t="shared" si="44"/>
        <v>Medium</v>
      </c>
    </row>
    <row r="555" spans="1:18" x14ac:dyDescent="0.45">
      <c r="A555">
        <v>554</v>
      </c>
      <c r="B555">
        <v>21</v>
      </c>
      <c r="C555" t="s">
        <v>19</v>
      </c>
      <c r="D555" t="s">
        <v>20</v>
      </c>
      <c r="E555" t="s">
        <v>56</v>
      </c>
      <c r="F555">
        <v>4.2</v>
      </c>
      <c r="G555" t="s">
        <v>32</v>
      </c>
      <c r="H555" t="s">
        <v>17</v>
      </c>
      <c r="I555">
        <v>8</v>
      </c>
      <c r="J555">
        <v>7</v>
      </c>
      <c r="K555" t="s">
        <v>18</v>
      </c>
      <c r="L555">
        <v>3</v>
      </c>
      <c r="M555">
        <v>6</v>
      </c>
      <c r="N555" t="str">
        <f t="shared" si="40"/>
        <v>Medium</v>
      </c>
      <c r="O555" t="str">
        <f t="shared" si="41"/>
        <v>High</v>
      </c>
      <c r="P555" t="str">
        <f t="shared" si="42"/>
        <v>High</v>
      </c>
      <c r="Q555" t="str">
        <f t="shared" si="43"/>
        <v>Bad</v>
      </c>
      <c r="R555" t="str">
        <f t="shared" si="44"/>
        <v>Medium</v>
      </c>
    </row>
    <row r="556" spans="1:18" x14ac:dyDescent="0.45">
      <c r="A556">
        <v>555</v>
      </c>
      <c r="B556">
        <v>20</v>
      </c>
      <c r="C556" t="s">
        <v>13</v>
      </c>
      <c r="D556" t="s">
        <v>14</v>
      </c>
      <c r="E556" t="s">
        <v>57</v>
      </c>
      <c r="F556">
        <v>5.6</v>
      </c>
      <c r="G556" t="s">
        <v>26</v>
      </c>
      <c r="H556" t="s">
        <v>17</v>
      </c>
      <c r="I556">
        <v>6.5</v>
      </c>
      <c r="J556">
        <v>6</v>
      </c>
      <c r="K556" t="s">
        <v>24</v>
      </c>
      <c r="L556">
        <v>3</v>
      </c>
      <c r="M556">
        <v>7</v>
      </c>
      <c r="N556" t="str">
        <f t="shared" si="40"/>
        <v>Medium</v>
      </c>
      <c r="O556" t="str">
        <f t="shared" si="41"/>
        <v>Average</v>
      </c>
      <c r="P556" t="str">
        <f t="shared" si="42"/>
        <v>Average</v>
      </c>
      <c r="Q556" t="str">
        <f t="shared" si="43"/>
        <v>Bad</v>
      </c>
      <c r="R556" t="str">
        <f t="shared" si="44"/>
        <v>High</v>
      </c>
    </row>
    <row r="557" spans="1:18" x14ac:dyDescent="0.45">
      <c r="A557">
        <v>556</v>
      </c>
      <c r="B557">
        <v>22</v>
      </c>
      <c r="C557" t="s">
        <v>19</v>
      </c>
      <c r="D557" t="s">
        <v>20</v>
      </c>
      <c r="E557" t="s">
        <v>58</v>
      </c>
      <c r="F557">
        <v>6</v>
      </c>
      <c r="G557" t="s">
        <v>143</v>
      </c>
      <c r="H557" t="s">
        <v>17</v>
      </c>
      <c r="I557">
        <v>6.3</v>
      </c>
      <c r="J557">
        <v>6</v>
      </c>
      <c r="K557" t="s">
        <v>24</v>
      </c>
      <c r="L557">
        <v>3</v>
      </c>
      <c r="M557">
        <v>7</v>
      </c>
      <c r="N557" t="str">
        <f t="shared" si="40"/>
        <v>Medium</v>
      </c>
      <c r="O557" t="str">
        <f t="shared" si="41"/>
        <v>High</v>
      </c>
      <c r="P557" t="str">
        <f t="shared" si="42"/>
        <v>Average</v>
      </c>
      <c r="Q557" t="str">
        <f t="shared" si="43"/>
        <v>Bad</v>
      </c>
      <c r="R557" t="str">
        <f t="shared" si="44"/>
        <v>High</v>
      </c>
    </row>
    <row r="558" spans="1:18" x14ac:dyDescent="0.45">
      <c r="A558">
        <v>557</v>
      </c>
      <c r="B558">
        <v>19</v>
      </c>
      <c r="C558" t="s">
        <v>13</v>
      </c>
      <c r="D558" t="s">
        <v>14</v>
      </c>
      <c r="E558" t="s">
        <v>67</v>
      </c>
      <c r="F558">
        <v>7</v>
      </c>
      <c r="G558" t="s">
        <v>16</v>
      </c>
      <c r="H558" t="s">
        <v>17</v>
      </c>
      <c r="I558">
        <v>6</v>
      </c>
      <c r="J558">
        <v>5</v>
      </c>
      <c r="K558" t="s">
        <v>18</v>
      </c>
      <c r="L558">
        <v>4</v>
      </c>
      <c r="M558">
        <v>8</v>
      </c>
      <c r="N558" t="str">
        <f t="shared" si="40"/>
        <v>High</v>
      </c>
      <c r="O558" t="str">
        <f t="shared" si="41"/>
        <v>High</v>
      </c>
      <c r="P558" t="str">
        <f t="shared" si="42"/>
        <v>Average</v>
      </c>
      <c r="Q558" t="str">
        <f t="shared" si="43"/>
        <v>Bad</v>
      </c>
      <c r="R558" t="str">
        <f t="shared" si="44"/>
        <v>High</v>
      </c>
    </row>
    <row r="559" spans="1:18" x14ac:dyDescent="0.45">
      <c r="A559">
        <v>558</v>
      </c>
      <c r="B559">
        <v>21</v>
      </c>
      <c r="C559" t="s">
        <v>19</v>
      </c>
      <c r="D559" t="s">
        <v>20</v>
      </c>
      <c r="E559" t="s">
        <v>90</v>
      </c>
      <c r="F559">
        <v>3.7</v>
      </c>
      <c r="G559" t="s">
        <v>32</v>
      </c>
      <c r="H559" t="s">
        <v>23</v>
      </c>
      <c r="I559">
        <v>8.4</v>
      </c>
      <c r="J559">
        <v>7</v>
      </c>
      <c r="K559" t="s">
        <v>24</v>
      </c>
      <c r="L559">
        <v>2</v>
      </c>
      <c r="M559">
        <v>5</v>
      </c>
      <c r="N559" t="str">
        <f t="shared" si="40"/>
        <v>Medium</v>
      </c>
      <c r="O559" t="str">
        <f t="shared" si="41"/>
        <v>High</v>
      </c>
      <c r="P559" t="str">
        <f t="shared" si="42"/>
        <v>High</v>
      </c>
      <c r="Q559" t="str">
        <f t="shared" si="43"/>
        <v>Bad</v>
      </c>
      <c r="R559" t="str">
        <f t="shared" si="44"/>
        <v>Medium</v>
      </c>
    </row>
    <row r="560" spans="1:18" x14ac:dyDescent="0.45">
      <c r="A560">
        <v>559</v>
      </c>
      <c r="B560">
        <v>20</v>
      </c>
      <c r="C560" t="s">
        <v>13</v>
      </c>
      <c r="D560" t="s">
        <v>14</v>
      </c>
      <c r="E560" t="s">
        <v>21</v>
      </c>
      <c r="F560">
        <v>7.3</v>
      </c>
      <c r="G560" t="s">
        <v>143</v>
      </c>
      <c r="H560" t="s">
        <v>17</v>
      </c>
      <c r="I560">
        <v>5.5</v>
      </c>
      <c r="J560">
        <v>5</v>
      </c>
      <c r="K560" t="s">
        <v>18</v>
      </c>
      <c r="L560">
        <v>4</v>
      </c>
      <c r="M560">
        <v>8</v>
      </c>
      <c r="N560" t="str">
        <f t="shared" si="40"/>
        <v>High</v>
      </c>
      <c r="O560" t="str">
        <f t="shared" si="41"/>
        <v>Average</v>
      </c>
      <c r="P560" t="str">
        <f t="shared" si="42"/>
        <v>Average</v>
      </c>
      <c r="Q560" t="str">
        <f t="shared" si="43"/>
        <v>Bad</v>
      </c>
      <c r="R560" t="str">
        <f t="shared" si="44"/>
        <v>High</v>
      </c>
    </row>
    <row r="561" spans="1:18" x14ac:dyDescent="0.45">
      <c r="A561">
        <v>560</v>
      </c>
      <c r="B561">
        <v>22</v>
      </c>
      <c r="C561" t="s">
        <v>19</v>
      </c>
      <c r="D561" t="s">
        <v>20</v>
      </c>
      <c r="E561" t="s">
        <v>31</v>
      </c>
      <c r="F561">
        <v>4.3</v>
      </c>
      <c r="G561" t="s">
        <v>26</v>
      </c>
      <c r="H561" t="s">
        <v>17</v>
      </c>
      <c r="I561">
        <v>7.9</v>
      </c>
      <c r="J561">
        <v>7</v>
      </c>
      <c r="K561" t="s">
        <v>24</v>
      </c>
      <c r="L561">
        <v>3</v>
      </c>
      <c r="M561">
        <v>6</v>
      </c>
      <c r="N561" t="str">
        <f t="shared" si="40"/>
        <v>Medium</v>
      </c>
      <c r="O561" t="str">
        <f t="shared" si="41"/>
        <v>Average</v>
      </c>
      <c r="P561" t="str">
        <f t="shared" si="42"/>
        <v>High</v>
      </c>
      <c r="Q561" t="str">
        <f t="shared" si="43"/>
        <v>Bad</v>
      </c>
      <c r="R561" t="str">
        <f t="shared" si="44"/>
        <v>Medium</v>
      </c>
    </row>
    <row r="562" spans="1:18" x14ac:dyDescent="0.45">
      <c r="A562">
        <v>561</v>
      </c>
      <c r="B562">
        <v>19</v>
      </c>
      <c r="C562" t="s">
        <v>13</v>
      </c>
      <c r="D562" t="s">
        <v>14</v>
      </c>
      <c r="E562" t="s">
        <v>36</v>
      </c>
      <c r="F562">
        <v>5.6</v>
      </c>
      <c r="G562" t="s">
        <v>143</v>
      </c>
      <c r="H562" t="s">
        <v>17</v>
      </c>
      <c r="I562">
        <v>6.9</v>
      </c>
      <c r="J562">
        <v>6</v>
      </c>
      <c r="K562" t="s">
        <v>24</v>
      </c>
      <c r="L562">
        <v>3</v>
      </c>
      <c r="M562">
        <v>7</v>
      </c>
      <c r="N562" t="str">
        <f t="shared" si="40"/>
        <v>Medium</v>
      </c>
      <c r="O562" t="str">
        <f t="shared" si="41"/>
        <v>High</v>
      </c>
      <c r="P562" t="str">
        <f t="shared" si="42"/>
        <v>Average</v>
      </c>
      <c r="Q562" t="str">
        <f t="shared" si="43"/>
        <v>Bad</v>
      </c>
      <c r="R562" t="str">
        <f t="shared" si="44"/>
        <v>High</v>
      </c>
    </row>
    <row r="563" spans="1:18" x14ac:dyDescent="0.45">
      <c r="A563">
        <v>562</v>
      </c>
      <c r="B563">
        <v>21</v>
      </c>
      <c r="C563" t="s">
        <v>19</v>
      </c>
      <c r="D563" t="s">
        <v>20</v>
      </c>
      <c r="E563" t="s">
        <v>45</v>
      </c>
      <c r="F563">
        <v>3.9</v>
      </c>
      <c r="G563" t="s">
        <v>144</v>
      </c>
      <c r="H563" t="s">
        <v>23</v>
      </c>
      <c r="I563">
        <v>8.4</v>
      </c>
      <c r="J563">
        <v>7</v>
      </c>
      <c r="K563" t="s">
        <v>18</v>
      </c>
      <c r="L563">
        <v>2</v>
      </c>
      <c r="M563">
        <v>5</v>
      </c>
      <c r="N563" t="str">
        <f t="shared" si="40"/>
        <v>Medium</v>
      </c>
      <c r="O563" t="str">
        <f t="shared" si="41"/>
        <v>Average</v>
      </c>
      <c r="P563" t="str">
        <f t="shared" si="42"/>
        <v>High</v>
      </c>
      <c r="Q563" t="str">
        <f t="shared" si="43"/>
        <v>Bad</v>
      </c>
      <c r="R563" t="str">
        <f t="shared" si="44"/>
        <v>Medium</v>
      </c>
    </row>
    <row r="564" spans="1:18" x14ac:dyDescent="0.45">
      <c r="A564">
        <v>563</v>
      </c>
      <c r="B564">
        <v>20</v>
      </c>
      <c r="C564" t="s">
        <v>13</v>
      </c>
      <c r="D564" t="s">
        <v>14</v>
      </c>
      <c r="E564" t="s">
        <v>49</v>
      </c>
      <c r="F564">
        <v>3.2</v>
      </c>
      <c r="G564" t="s">
        <v>16</v>
      </c>
      <c r="H564" t="s">
        <v>23</v>
      </c>
      <c r="I564">
        <v>8.8000000000000007</v>
      </c>
      <c r="J564">
        <v>8</v>
      </c>
      <c r="K564" t="s">
        <v>24</v>
      </c>
      <c r="L564">
        <v>2</v>
      </c>
      <c r="M564">
        <v>4</v>
      </c>
      <c r="N564" t="str">
        <f t="shared" si="40"/>
        <v>Low</v>
      </c>
      <c r="O564" t="str">
        <f t="shared" si="41"/>
        <v>Average</v>
      </c>
      <c r="P564" t="str">
        <f t="shared" si="42"/>
        <v>High</v>
      </c>
      <c r="Q564" t="str">
        <f t="shared" si="43"/>
        <v>Good</v>
      </c>
      <c r="R564" t="str">
        <f t="shared" si="44"/>
        <v>Medium</v>
      </c>
    </row>
    <row r="565" spans="1:18" x14ac:dyDescent="0.45">
      <c r="A565">
        <v>564</v>
      </c>
      <c r="B565">
        <v>22</v>
      </c>
      <c r="C565" t="s">
        <v>19</v>
      </c>
      <c r="D565" t="s">
        <v>20</v>
      </c>
      <c r="E565" t="s">
        <v>56</v>
      </c>
      <c r="F565">
        <v>4.0999999999999996</v>
      </c>
      <c r="G565" t="s">
        <v>16</v>
      </c>
      <c r="H565" t="s">
        <v>17</v>
      </c>
      <c r="I565">
        <v>8.1</v>
      </c>
      <c r="J565">
        <v>7</v>
      </c>
      <c r="K565" t="s">
        <v>18</v>
      </c>
      <c r="L565">
        <v>3</v>
      </c>
      <c r="M565">
        <v>6</v>
      </c>
      <c r="N565" t="str">
        <f t="shared" si="40"/>
        <v>Medium</v>
      </c>
      <c r="O565" t="str">
        <f t="shared" si="41"/>
        <v>Average</v>
      </c>
      <c r="P565" t="str">
        <f t="shared" si="42"/>
        <v>High</v>
      </c>
      <c r="Q565" t="str">
        <f t="shared" si="43"/>
        <v>Bad</v>
      </c>
      <c r="R565" t="str">
        <f t="shared" si="44"/>
        <v>Medium</v>
      </c>
    </row>
    <row r="566" spans="1:18" x14ac:dyDescent="0.45">
      <c r="A566">
        <v>565</v>
      </c>
      <c r="B566">
        <v>19</v>
      </c>
      <c r="C566" t="s">
        <v>13</v>
      </c>
      <c r="D566" t="s">
        <v>14</v>
      </c>
      <c r="E566" t="s">
        <v>57</v>
      </c>
      <c r="F566">
        <v>5.7</v>
      </c>
      <c r="G566" t="s">
        <v>26</v>
      </c>
      <c r="H566" t="s">
        <v>17</v>
      </c>
      <c r="I566">
        <v>6.4</v>
      </c>
      <c r="J566">
        <v>6</v>
      </c>
      <c r="K566" t="s">
        <v>24</v>
      </c>
      <c r="L566">
        <v>3</v>
      </c>
      <c r="M566">
        <v>7</v>
      </c>
      <c r="N566" t="str">
        <f t="shared" si="40"/>
        <v>Medium</v>
      </c>
      <c r="O566" t="str">
        <f t="shared" si="41"/>
        <v>High</v>
      </c>
      <c r="P566" t="str">
        <f t="shared" si="42"/>
        <v>Average</v>
      </c>
      <c r="Q566" t="str">
        <f t="shared" si="43"/>
        <v>Bad</v>
      </c>
      <c r="R566" t="str">
        <f t="shared" si="44"/>
        <v>High</v>
      </c>
    </row>
    <row r="567" spans="1:18" x14ac:dyDescent="0.45">
      <c r="A567">
        <v>566</v>
      </c>
      <c r="B567">
        <v>21</v>
      </c>
      <c r="C567" t="s">
        <v>19</v>
      </c>
      <c r="D567" t="s">
        <v>20</v>
      </c>
      <c r="E567" t="s">
        <v>58</v>
      </c>
      <c r="F567">
        <v>6.1</v>
      </c>
      <c r="G567" t="s">
        <v>143</v>
      </c>
      <c r="H567" t="s">
        <v>17</v>
      </c>
      <c r="I567">
        <v>6.2</v>
      </c>
      <c r="J567">
        <v>6</v>
      </c>
      <c r="K567" t="s">
        <v>24</v>
      </c>
      <c r="L567">
        <v>3</v>
      </c>
      <c r="M567">
        <v>7</v>
      </c>
      <c r="N567" t="str">
        <f t="shared" si="40"/>
        <v>Medium</v>
      </c>
      <c r="O567" t="str">
        <f t="shared" si="41"/>
        <v>Average</v>
      </c>
      <c r="P567" t="str">
        <f t="shared" si="42"/>
        <v>Average</v>
      </c>
      <c r="Q567" t="str">
        <f t="shared" si="43"/>
        <v>Bad</v>
      </c>
      <c r="R567" t="str">
        <f t="shared" si="44"/>
        <v>High</v>
      </c>
    </row>
    <row r="568" spans="1:18" x14ac:dyDescent="0.45">
      <c r="A568">
        <v>567</v>
      </c>
      <c r="B568">
        <v>20</v>
      </c>
      <c r="C568" t="s">
        <v>13</v>
      </c>
      <c r="D568" t="s">
        <v>14</v>
      </c>
      <c r="E568" t="s">
        <v>67</v>
      </c>
      <c r="F568">
        <v>7.1</v>
      </c>
      <c r="G568" t="s">
        <v>16</v>
      </c>
      <c r="H568" t="s">
        <v>17</v>
      </c>
      <c r="I568">
        <v>5.9</v>
      </c>
      <c r="J568">
        <v>5</v>
      </c>
      <c r="K568" t="s">
        <v>18</v>
      </c>
      <c r="L568">
        <v>4</v>
      </c>
      <c r="M568">
        <v>8</v>
      </c>
      <c r="N568" t="str">
        <f t="shared" si="40"/>
        <v>High</v>
      </c>
      <c r="O568" t="str">
        <f t="shared" si="41"/>
        <v>Average</v>
      </c>
      <c r="P568" t="str">
        <f t="shared" si="42"/>
        <v>Average</v>
      </c>
      <c r="Q568" t="str">
        <f t="shared" si="43"/>
        <v>Bad</v>
      </c>
      <c r="R568" t="str">
        <f t="shared" si="44"/>
        <v>High</v>
      </c>
    </row>
    <row r="569" spans="1:18" x14ac:dyDescent="0.45">
      <c r="A569">
        <v>568</v>
      </c>
      <c r="B569">
        <v>22</v>
      </c>
      <c r="C569" t="s">
        <v>19</v>
      </c>
      <c r="D569" t="s">
        <v>20</v>
      </c>
      <c r="E569" t="s">
        <v>90</v>
      </c>
      <c r="F569">
        <v>3.6</v>
      </c>
      <c r="G569" t="s">
        <v>32</v>
      </c>
      <c r="H569" t="s">
        <v>23</v>
      </c>
      <c r="I569">
        <v>8.5</v>
      </c>
      <c r="J569">
        <v>7</v>
      </c>
      <c r="K569" t="s">
        <v>24</v>
      </c>
      <c r="L569">
        <v>2</v>
      </c>
      <c r="M569">
        <v>5</v>
      </c>
      <c r="N569" t="str">
        <f t="shared" si="40"/>
        <v>Medium</v>
      </c>
      <c r="O569" t="str">
        <f t="shared" si="41"/>
        <v>High</v>
      </c>
      <c r="P569" t="str">
        <f t="shared" si="42"/>
        <v>High</v>
      </c>
      <c r="Q569" t="str">
        <f t="shared" si="43"/>
        <v>Bad</v>
      </c>
      <c r="R569" t="str">
        <f t="shared" si="44"/>
        <v>Medium</v>
      </c>
    </row>
    <row r="570" spans="1:18" x14ac:dyDescent="0.45">
      <c r="A570">
        <v>569</v>
      </c>
      <c r="B570">
        <v>19</v>
      </c>
      <c r="C570" t="s">
        <v>13</v>
      </c>
      <c r="D570" t="s">
        <v>14</v>
      </c>
      <c r="E570" t="s">
        <v>21</v>
      </c>
      <c r="F570">
        <v>7.4</v>
      </c>
      <c r="G570" t="s">
        <v>143</v>
      </c>
      <c r="H570" t="s">
        <v>17</v>
      </c>
      <c r="I570">
        <v>5.4</v>
      </c>
      <c r="J570">
        <v>5</v>
      </c>
      <c r="K570" t="s">
        <v>18</v>
      </c>
      <c r="L570">
        <v>4</v>
      </c>
      <c r="M570">
        <v>8</v>
      </c>
      <c r="N570" t="str">
        <f t="shared" si="40"/>
        <v>High</v>
      </c>
      <c r="O570" t="str">
        <f t="shared" si="41"/>
        <v>Average</v>
      </c>
      <c r="P570" t="str">
        <f t="shared" si="42"/>
        <v>Average</v>
      </c>
      <c r="Q570" t="str">
        <f t="shared" si="43"/>
        <v>Bad</v>
      </c>
      <c r="R570" t="str">
        <f t="shared" si="44"/>
        <v>High</v>
      </c>
    </row>
    <row r="571" spans="1:18" x14ac:dyDescent="0.45">
      <c r="A571">
        <v>570</v>
      </c>
      <c r="B571">
        <v>21</v>
      </c>
      <c r="C571" t="s">
        <v>19</v>
      </c>
      <c r="D571" t="s">
        <v>20</v>
      </c>
      <c r="E571" t="s">
        <v>31</v>
      </c>
      <c r="F571">
        <v>4.2</v>
      </c>
      <c r="G571" t="s">
        <v>16</v>
      </c>
      <c r="H571" t="s">
        <v>17</v>
      </c>
      <c r="I571">
        <v>8</v>
      </c>
      <c r="J571">
        <v>7</v>
      </c>
      <c r="K571" t="s">
        <v>24</v>
      </c>
      <c r="L571">
        <v>3</v>
      </c>
      <c r="M571">
        <v>6</v>
      </c>
      <c r="N571" t="str">
        <f t="shared" si="40"/>
        <v>Medium</v>
      </c>
      <c r="O571" t="str">
        <f t="shared" si="41"/>
        <v>Average</v>
      </c>
      <c r="P571" t="str">
        <f t="shared" si="42"/>
        <v>High</v>
      </c>
      <c r="Q571" t="str">
        <f t="shared" si="43"/>
        <v>Bad</v>
      </c>
      <c r="R571" t="str">
        <f t="shared" si="44"/>
        <v>Medium</v>
      </c>
    </row>
    <row r="572" spans="1:18" x14ac:dyDescent="0.45">
      <c r="A572">
        <v>571</v>
      </c>
      <c r="B572">
        <v>20</v>
      </c>
      <c r="C572" t="s">
        <v>13</v>
      </c>
      <c r="D572" t="s">
        <v>14</v>
      </c>
      <c r="E572" t="s">
        <v>41</v>
      </c>
      <c r="F572">
        <v>6.1</v>
      </c>
      <c r="G572" t="s">
        <v>16</v>
      </c>
      <c r="H572" t="s">
        <v>17</v>
      </c>
      <c r="I572">
        <v>7.2</v>
      </c>
      <c r="J572">
        <v>5</v>
      </c>
      <c r="K572" t="s">
        <v>24</v>
      </c>
      <c r="L572">
        <v>4</v>
      </c>
      <c r="M572">
        <v>7</v>
      </c>
      <c r="N572" t="str">
        <f t="shared" si="40"/>
        <v>Medium</v>
      </c>
      <c r="O572" t="str">
        <f t="shared" si="41"/>
        <v>High</v>
      </c>
      <c r="P572" t="str">
        <f t="shared" si="42"/>
        <v>High</v>
      </c>
      <c r="Q572" t="str">
        <f t="shared" si="43"/>
        <v>Bad</v>
      </c>
      <c r="R572" t="str">
        <f t="shared" si="44"/>
        <v>High</v>
      </c>
    </row>
    <row r="573" spans="1:18" x14ac:dyDescent="0.45">
      <c r="A573">
        <v>572</v>
      </c>
      <c r="B573">
        <v>23</v>
      </c>
      <c r="C573" t="s">
        <v>19</v>
      </c>
      <c r="D573" t="s">
        <v>20</v>
      </c>
      <c r="E573" t="s">
        <v>48</v>
      </c>
      <c r="F573">
        <v>3.8</v>
      </c>
      <c r="G573" t="s">
        <v>22</v>
      </c>
      <c r="H573" t="s">
        <v>23</v>
      </c>
      <c r="I573">
        <v>7.8</v>
      </c>
      <c r="J573">
        <v>8</v>
      </c>
      <c r="K573" t="s">
        <v>18</v>
      </c>
      <c r="L573">
        <v>2</v>
      </c>
      <c r="M573">
        <v>4</v>
      </c>
      <c r="N573" t="str">
        <f t="shared" si="40"/>
        <v>Medium</v>
      </c>
      <c r="O573" t="str">
        <f t="shared" si="41"/>
        <v>Average</v>
      </c>
      <c r="P573" t="str">
        <f t="shared" si="42"/>
        <v>High</v>
      </c>
      <c r="Q573" t="str">
        <f t="shared" si="43"/>
        <v>Good</v>
      </c>
      <c r="R573" t="str">
        <f t="shared" si="44"/>
        <v>Medium</v>
      </c>
    </row>
    <row r="574" spans="1:18" x14ac:dyDescent="0.45">
      <c r="A574">
        <v>573</v>
      </c>
      <c r="B574">
        <v>19</v>
      </c>
      <c r="C574" t="s">
        <v>13</v>
      </c>
      <c r="D574" t="s">
        <v>14</v>
      </c>
      <c r="E574" t="s">
        <v>55</v>
      </c>
      <c r="F574">
        <v>5.5</v>
      </c>
      <c r="G574" t="s">
        <v>26</v>
      </c>
      <c r="H574" t="s">
        <v>17</v>
      </c>
      <c r="I574">
        <v>6.8</v>
      </c>
      <c r="J574">
        <v>6</v>
      </c>
      <c r="K574" t="s">
        <v>24</v>
      </c>
      <c r="L574">
        <v>4</v>
      </c>
      <c r="M574">
        <v>8</v>
      </c>
      <c r="N574" t="str">
        <f t="shared" si="40"/>
        <v>Medium</v>
      </c>
      <c r="O574" t="str">
        <f t="shared" si="41"/>
        <v>High</v>
      </c>
      <c r="P574" t="str">
        <f t="shared" si="42"/>
        <v>Average</v>
      </c>
      <c r="Q574" t="str">
        <f t="shared" si="43"/>
        <v>Bad</v>
      </c>
      <c r="R574" t="str">
        <f t="shared" si="44"/>
        <v>High</v>
      </c>
    </row>
    <row r="575" spans="1:18" x14ac:dyDescent="0.45">
      <c r="A575">
        <v>574</v>
      </c>
      <c r="B575">
        <v>22</v>
      </c>
      <c r="C575" t="s">
        <v>19</v>
      </c>
      <c r="D575" t="s">
        <v>20</v>
      </c>
      <c r="E575" t="s">
        <v>21</v>
      </c>
      <c r="F575">
        <v>7.2</v>
      </c>
      <c r="G575" t="s">
        <v>32</v>
      </c>
      <c r="H575" t="s">
        <v>17</v>
      </c>
      <c r="I575">
        <v>5.9</v>
      </c>
      <c r="J575">
        <v>4</v>
      </c>
      <c r="K575" t="s">
        <v>24</v>
      </c>
      <c r="L575">
        <v>5</v>
      </c>
      <c r="M575">
        <v>9</v>
      </c>
      <c r="N575" t="str">
        <f t="shared" si="40"/>
        <v>High</v>
      </c>
      <c r="O575" t="str">
        <f t="shared" si="41"/>
        <v>Average</v>
      </c>
      <c r="P575" t="str">
        <f t="shared" si="42"/>
        <v>Average</v>
      </c>
      <c r="Q575" t="str">
        <f t="shared" si="43"/>
        <v>Worst</v>
      </c>
      <c r="R575" t="str">
        <f t="shared" si="44"/>
        <v>High</v>
      </c>
    </row>
    <row r="576" spans="1:18" x14ac:dyDescent="0.45">
      <c r="A576">
        <v>575</v>
      </c>
      <c r="B576">
        <v>21</v>
      </c>
      <c r="C576" t="s">
        <v>13</v>
      </c>
      <c r="D576" t="s">
        <v>14</v>
      </c>
      <c r="E576" t="s">
        <v>51</v>
      </c>
      <c r="F576">
        <v>4.2</v>
      </c>
      <c r="G576" t="s">
        <v>16</v>
      </c>
      <c r="H576" t="s">
        <v>23</v>
      </c>
      <c r="I576">
        <v>7.5</v>
      </c>
      <c r="J576">
        <v>7</v>
      </c>
      <c r="K576" t="s">
        <v>18</v>
      </c>
      <c r="L576">
        <v>2</v>
      </c>
      <c r="M576">
        <v>5</v>
      </c>
      <c r="N576" t="str">
        <f t="shared" si="40"/>
        <v>Medium</v>
      </c>
      <c r="O576" t="str">
        <f t="shared" si="41"/>
        <v>High</v>
      </c>
      <c r="P576" t="str">
        <f t="shared" si="42"/>
        <v>High</v>
      </c>
      <c r="Q576" t="str">
        <f t="shared" si="43"/>
        <v>Bad</v>
      </c>
      <c r="R576" t="str">
        <f t="shared" si="44"/>
        <v>Medium</v>
      </c>
    </row>
    <row r="577" spans="1:18" x14ac:dyDescent="0.45">
      <c r="A577">
        <v>576</v>
      </c>
      <c r="B577">
        <v>24</v>
      </c>
      <c r="C577" t="s">
        <v>19</v>
      </c>
      <c r="D577" t="s">
        <v>20</v>
      </c>
      <c r="E577" t="s">
        <v>65</v>
      </c>
      <c r="F577">
        <v>6.8</v>
      </c>
      <c r="G577" t="s">
        <v>26</v>
      </c>
      <c r="H577" t="s">
        <v>17</v>
      </c>
      <c r="I577">
        <v>6.2</v>
      </c>
      <c r="J577">
        <v>5</v>
      </c>
      <c r="K577" t="s">
        <v>24</v>
      </c>
      <c r="L577">
        <v>4</v>
      </c>
      <c r="M577">
        <v>8</v>
      </c>
      <c r="N577" t="str">
        <f t="shared" si="40"/>
        <v>High</v>
      </c>
      <c r="O577" t="str">
        <f t="shared" si="41"/>
        <v>Average</v>
      </c>
      <c r="P577" t="str">
        <f t="shared" si="42"/>
        <v>Average</v>
      </c>
      <c r="Q577" t="str">
        <f t="shared" si="43"/>
        <v>Bad</v>
      </c>
      <c r="R577" t="str">
        <f t="shared" si="44"/>
        <v>High</v>
      </c>
    </row>
    <row r="578" spans="1:18" x14ac:dyDescent="0.45">
      <c r="A578">
        <v>577</v>
      </c>
      <c r="B578">
        <v>20</v>
      </c>
      <c r="C578" t="s">
        <v>13</v>
      </c>
      <c r="D578" t="s">
        <v>14</v>
      </c>
      <c r="E578" t="s">
        <v>25</v>
      </c>
      <c r="F578">
        <v>5.9</v>
      </c>
      <c r="G578" t="s">
        <v>16</v>
      </c>
      <c r="H578" t="s">
        <v>17</v>
      </c>
      <c r="I578">
        <v>6.7</v>
      </c>
      <c r="J578">
        <v>6</v>
      </c>
      <c r="K578" t="s">
        <v>18</v>
      </c>
      <c r="L578">
        <v>3</v>
      </c>
      <c r="M578">
        <v>7</v>
      </c>
      <c r="N578" t="str">
        <f t="shared" si="40"/>
        <v>Medium</v>
      </c>
      <c r="O578" t="str">
        <f t="shared" si="41"/>
        <v>Average</v>
      </c>
      <c r="P578" t="str">
        <f t="shared" si="42"/>
        <v>Average</v>
      </c>
      <c r="Q578" t="str">
        <f t="shared" si="43"/>
        <v>Bad</v>
      </c>
      <c r="R578" t="str">
        <f t="shared" si="44"/>
        <v>High</v>
      </c>
    </row>
    <row r="579" spans="1:18" x14ac:dyDescent="0.45">
      <c r="A579">
        <v>578</v>
      </c>
      <c r="B579">
        <v>22</v>
      </c>
      <c r="C579" t="s">
        <v>19</v>
      </c>
      <c r="D579" t="s">
        <v>20</v>
      </c>
      <c r="E579" t="s">
        <v>43</v>
      </c>
      <c r="F579">
        <v>6.5</v>
      </c>
      <c r="G579" t="s">
        <v>32</v>
      </c>
      <c r="H579" t="s">
        <v>17</v>
      </c>
      <c r="I579">
        <v>6.1</v>
      </c>
      <c r="J579">
        <v>5</v>
      </c>
      <c r="K579" t="s">
        <v>24</v>
      </c>
      <c r="L579">
        <v>4</v>
      </c>
      <c r="M579">
        <v>8</v>
      </c>
      <c r="N579" t="str">
        <f t="shared" ref="N579:N642" si="45">IF(AND(F579&gt;=1.5,F579&lt;=3.5),"Low",IF(AND(F579&gt;3.5,F579&lt;=6.5),"Medium","High"))</f>
        <v>Medium</v>
      </c>
      <c r="O579" t="str">
        <f t="shared" ref="O579:O642" si="46">IF(AND(I593&gt;=3.8,I593&lt;=5),"Less",IF(AND(I593&gt;5,I593&lt;=7),"Average","High"))</f>
        <v>High</v>
      </c>
      <c r="P579" t="str">
        <f t="shared" ref="P579:P642" si="47">IF(AND(I579&gt;=3.8,I579&lt;=5),"Less",IF(AND(I579&gt;5,I579&lt;=7),"Average","High"))</f>
        <v>Average</v>
      </c>
      <c r="Q579" t="str">
        <f t="shared" si="43"/>
        <v>Bad</v>
      </c>
      <c r="R579" t="str">
        <f t="shared" si="44"/>
        <v>High</v>
      </c>
    </row>
    <row r="580" spans="1:18" x14ac:dyDescent="0.45">
      <c r="A580">
        <v>579</v>
      </c>
      <c r="B580">
        <v>19</v>
      </c>
      <c r="C580" t="s">
        <v>13</v>
      </c>
      <c r="D580" t="s">
        <v>14</v>
      </c>
      <c r="E580" t="s">
        <v>40</v>
      </c>
      <c r="F580">
        <v>4.7</v>
      </c>
      <c r="G580" t="s">
        <v>22</v>
      </c>
      <c r="H580" t="s">
        <v>23</v>
      </c>
      <c r="I580">
        <v>7.4</v>
      </c>
      <c r="J580">
        <v>7</v>
      </c>
      <c r="K580" t="s">
        <v>24</v>
      </c>
      <c r="L580">
        <v>2</v>
      </c>
      <c r="M580">
        <v>5</v>
      </c>
      <c r="N580" t="str">
        <f t="shared" si="45"/>
        <v>Medium</v>
      </c>
      <c r="O580" t="str">
        <f t="shared" si="46"/>
        <v>Average</v>
      </c>
      <c r="P580" t="str">
        <f t="shared" si="47"/>
        <v>High</v>
      </c>
      <c r="Q580" t="str">
        <f t="shared" si="43"/>
        <v>Bad</v>
      </c>
      <c r="R580" t="str">
        <f t="shared" si="44"/>
        <v>Medium</v>
      </c>
    </row>
    <row r="581" spans="1:18" x14ac:dyDescent="0.45">
      <c r="A581">
        <v>580</v>
      </c>
      <c r="B581">
        <v>23</v>
      </c>
      <c r="C581" t="s">
        <v>19</v>
      </c>
      <c r="D581" t="s">
        <v>20</v>
      </c>
      <c r="E581" t="s">
        <v>31</v>
      </c>
      <c r="F581">
        <v>5.2</v>
      </c>
      <c r="G581" t="s">
        <v>16</v>
      </c>
      <c r="H581" t="s">
        <v>17</v>
      </c>
      <c r="I581">
        <v>7</v>
      </c>
      <c r="J581">
        <v>6</v>
      </c>
      <c r="K581" t="s">
        <v>18</v>
      </c>
      <c r="L581">
        <v>3</v>
      </c>
      <c r="M581">
        <v>6</v>
      </c>
      <c r="N581" t="str">
        <f t="shared" si="45"/>
        <v>Medium</v>
      </c>
      <c r="O581" t="str">
        <f t="shared" si="46"/>
        <v>Average</v>
      </c>
      <c r="P581" t="str">
        <f t="shared" si="47"/>
        <v>Average</v>
      </c>
      <c r="Q581" t="str">
        <f t="shared" si="43"/>
        <v>Bad</v>
      </c>
      <c r="R581" t="str">
        <f t="shared" si="44"/>
        <v>Medium</v>
      </c>
    </row>
    <row r="582" spans="1:18" x14ac:dyDescent="0.45">
      <c r="A582">
        <v>581</v>
      </c>
      <c r="B582">
        <v>21</v>
      </c>
      <c r="C582" t="s">
        <v>13</v>
      </c>
      <c r="D582" t="s">
        <v>14</v>
      </c>
      <c r="E582" t="s">
        <v>29</v>
      </c>
      <c r="F582">
        <v>6.3</v>
      </c>
      <c r="G582" t="s">
        <v>26</v>
      </c>
      <c r="H582" t="s">
        <v>17</v>
      </c>
      <c r="I582">
        <v>6.4</v>
      </c>
      <c r="J582">
        <v>5</v>
      </c>
      <c r="K582" t="s">
        <v>24</v>
      </c>
      <c r="L582">
        <v>4</v>
      </c>
      <c r="M582">
        <v>8</v>
      </c>
      <c r="N582" t="str">
        <f t="shared" si="45"/>
        <v>Medium</v>
      </c>
      <c r="O582" t="str">
        <f t="shared" si="46"/>
        <v>Average</v>
      </c>
      <c r="P582" t="str">
        <f t="shared" si="47"/>
        <v>Average</v>
      </c>
      <c r="Q582" t="str">
        <f t="shared" ref="Q582:Q645" si="48">IF(AND(J582&gt;=0,J582&lt;=4),"Worst",IF(AND(J582&gt;4,J582&lt;=7),"Bad","Good"))</f>
        <v>Bad</v>
      </c>
      <c r="R582" t="str">
        <f t="shared" ref="R582:R645" si="49">IF(AND(M582&gt;0,M582&lt;=3),"Less",IF(AND(M582&gt;3,M582&lt;=6),"Medium","High"))</f>
        <v>High</v>
      </c>
    </row>
    <row r="583" spans="1:18" x14ac:dyDescent="0.45">
      <c r="A583">
        <v>582</v>
      </c>
      <c r="B583">
        <v>24</v>
      </c>
      <c r="C583" t="s">
        <v>19</v>
      </c>
      <c r="D583" t="s">
        <v>20</v>
      </c>
      <c r="E583" t="s">
        <v>42</v>
      </c>
      <c r="F583">
        <v>4.9000000000000004</v>
      </c>
      <c r="G583" t="s">
        <v>32</v>
      </c>
      <c r="H583" t="s">
        <v>23</v>
      </c>
      <c r="I583">
        <v>7.3</v>
      </c>
      <c r="J583">
        <v>7</v>
      </c>
      <c r="K583" t="s">
        <v>18</v>
      </c>
      <c r="L583">
        <v>2</v>
      </c>
      <c r="M583">
        <v>5</v>
      </c>
      <c r="N583" t="str">
        <f t="shared" si="45"/>
        <v>Medium</v>
      </c>
      <c r="O583" t="str">
        <f t="shared" si="46"/>
        <v>Average</v>
      </c>
      <c r="P583" t="str">
        <f t="shared" si="47"/>
        <v>High</v>
      </c>
      <c r="Q583" t="str">
        <f t="shared" si="48"/>
        <v>Bad</v>
      </c>
      <c r="R583" t="str">
        <f t="shared" si="49"/>
        <v>Medium</v>
      </c>
    </row>
    <row r="584" spans="1:18" x14ac:dyDescent="0.45">
      <c r="A584">
        <v>583</v>
      </c>
      <c r="B584">
        <v>20</v>
      </c>
      <c r="C584" t="s">
        <v>13</v>
      </c>
      <c r="D584" t="s">
        <v>14</v>
      </c>
      <c r="E584" t="s">
        <v>44</v>
      </c>
      <c r="F584">
        <v>6.7</v>
      </c>
      <c r="G584" t="s">
        <v>16</v>
      </c>
      <c r="H584" t="s">
        <v>17</v>
      </c>
      <c r="I584">
        <v>6</v>
      </c>
      <c r="J584">
        <v>5</v>
      </c>
      <c r="K584" t="s">
        <v>24</v>
      </c>
      <c r="L584">
        <v>4</v>
      </c>
      <c r="M584">
        <v>8</v>
      </c>
      <c r="N584" t="str">
        <f t="shared" si="45"/>
        <v>High</v>
      </c>
      <c r="O584" t="str">
        <f t="shared" si="46"/>
        <v>High</v>
      </c>
      <c r="P584" t="str">
        <f t="shared" si="47"/>
        <v>Average</v>
      </c>
      <c r="Q584" t="str">
        <f t="shared" si="48"/>
        <v>Bad</v>
      </c>
      <c r="R584" t="str">
        <f t="shared" si="49"/>
        <v>High</v>
      </c>
    </row>
    <row r="585" spans="1:18" x14ac:dyDescent="0.45">
      <c r="A585">
        <v>584</v>
      </c>
      <c r="B585">
        <v>22</v>
      </c>
      <c r="C585" t="s">
        <v>19</v>
      </c>
      <c r="D585" t="s">
        <v>20</v>
      </c>
      <c r="E585" t="s">
        <v>45</v>
      </c>
      <c r="F585">
        <v>5.8</v>
      </c>
      <c r="G585" t="s">
        <v>144</v>
      </c>
      <c r="H585" t="s">
        <v>17</v>
      </c>
      <c r="I585">
        <v>6.5</v>
      </c>
      <c r="J585">
        <v>6</v>
      </c>
      <c r="K585" t="s">
        <v>18</v>
      </c>
      <c r="L585">
        <v>3</v>
      </c>
      <c r="M585">
        <v>7</v>
      </c>
      <c r="N585" t="str">
        <f t="shared" si="45"/>
        <v>Medium</v>
      </c>
      <c r="O585" t="str">
        <f t="shared" si="46"/>
        <v>Average</v>
      </c>
      <c r="P585" t="str">
        <f t="shared" si="47"/>
        <v>Average</v>
      </c>
      <c r="Q585" t="str">
        <f t="shared" si="48"/>
        <v>Bad</v>
      </c>
      <c r="R585" t="str">
        <f t="shared" si="49"/>
        <v>High</v>
      </c>
    </row>
    <row r="586" spans="1:18" x14ac:dyDescent="0.45">
      <c r="A586">
        <v>585</v>
      </c>
      <c r="B586">
        <v>19</v>
      </c>
      <c r="C586" t="s">
        <v>13</v>
      </c>
      <c r="D586" t="s">
        <v>14</v>
      </c>
      <c r="E586" t="s">
        <v>38</v>
      </c>
      <c r="F586">
        <v>4.5</v>
      </c>
      <c r="G586" t="s">
        <v>22</v>
      </c>
      <c r="H586" t="s">
        <v>23</v>
      </c>
      <c r="I586">
        <v>7.6</v>
      </c>
      <c r="J586">
        <v>8</v>
      </c>
      <c r="K586" t="s">
        <v>24</v>
      </c>
      <c r="L586">
        <v>2</v>
      </c>
      <c r="M586">
        <v>4</v>
      </c>
      <c r="N586" t="str">
        <f t="shared" si="45"/>
        <v>Medium</v>
      </c>
      <c r="O586" t="str">
        <f t="shared" si="46"/>
        <v>High</v>
      </c>
      <c r="P586" t="str">
        <f t="shared" si="47"/>
        <v>High</v>
      </c>
      <c r="Q586" t="str">
        <f t="shared" si="48"/>
        <v>Good</v>
      </c>
      <c r="R586" t="str">
        <f t="shared" si="49"/>
        <v>Medium</v>
      </c>
    </row>
    <row r="587" spans="1:18" x14ac:dyDescent="0.45">
      <c r="A587">
        <v>586</v>
      </c>
      <c r="B587">
        <v>23</v>
      </c>
      <c r="C587" t="s">
        <v>19</v>
      </c>
      <c r="D587" t="s">
        <v>20</v>
      </c>
      <c r="E587" t="s">
        <v>90</v>
      </c>
      <c r="F587">
        <v>6.4</v>
      </c>
      <c r="G587" t="s">
        <v>32</v>
      </c>
      <c r="H587" t="s">
        <v>17</v>
      </c>
      <c r="I587">
        <v>6.3</v>
      </c>
      <c r="J587">
        <v>5</v>
      </c>
      <c r="K587" t="s">
        <v>24</v>
      </c>
      <c r="L587">
        <v>4</v>
      </c>
      <c r="M587">
        <v>8</v>
      </c>
      <c r="N587" t="str">
        <f t="shared" si="45"/>
        <v>Medium</v>
      </c>
      <c r="O587" t="str">
        <f t="shared" si="46"/>
        <v>Average</v>
      </c>
      <c r="P587" t="str">
        <f t="shared" si="47"/>
        <v>Average</v>
      </c>
      <c r="Q587" t="str">
        <f t="shared" si="48"/>
        <v>Bad</v>
      </c>
      <c r="R587" t="str">
        <f t="shared" si="49"/>
        <v>High</v>
      </c>
    </row>
    <row r="588" spans="1:18" x14ac:dyDescent="0.45">
      <c r="A588">
        <v>587</v>
      </c>
      <c r="B588">
        <v>21</v>
      </c>
      <c r="C588" t="s">
        <v>13</v>
      </c>
      <c r="D588" t="s">
        <v>14</v>
      </c>
      <c r="E588" t="s">
        <v>89</v>
      </c>
      <c r="F588">
        <v>4.0999999999999996</v>
      </c>
      <c r="G588" t="s">
        <v>16</v>
      </c>
      <c r="H588" t="s">
        <v>23</v>
      </c>
      <c r="I588">
        <v>7.7</v>
      </c>
      <c r="J588">
        <v>7</v>
      </c>
      <c r="K588" t="s">
        <v>18</v>
      </c>
      <c r="L588">
        <v>2</v>
      </c>
      <c r="M588">
        <v>5</v>
      </c>
      <c r="N588" t="str">
        <f t="shared" si="45"/>
        <v>Medium</v>
      </c>
      <c r="O588" t="str">
        <f t="shared" si="46"/>
        <v>Average</v>
      </c>
      <c r="P588" t="str">
        <f t="shared" si="47"/>
        <v>High</v>
      </c>
      <c r="Q588" t="str">
        <f t="shared" si="48"/>
        <v>Bad</v>
      </c>
      <c r="R588" t="str">
        <f t="shared" si="49"/>
        <v>Medium</v>
      </c>
    </row>
    <row r="589" spans="1:18" x14ac:dyDescent="0.45">
      <c r="A589">
        <v>588</v>
      </c>
      <c r="B589">
        <v>24</v>
      </c>
      <c r="C589" t="s">
        <v>19</v>
      </c>
      <c r="D589" t="s">
        <v>20</v>
      </c>
      <c r="E589" t="s">
        <v>41</v>
      </c>
      <c r="F589">
        <v>6.6</v>
      </c>
      <c r="G589" t="s">
        <v>26</v>
      </c>
      <c r="H589" t="s">
        <v>17</v>
      </c>
      <c r="I589">
        <v>6.2</v>
      </c>
      <c r="J589">
        <v>5</v>
      </c>
      <c r="K589" t="s">
        <v>24</v>
      </c>
      <c r="L589">
        <v>4</v>
      </c>
      <c r="M589">
        <v>8</v>
      </c>
      <c r="N589" t="str">
        <f t="shared" si="45"/>
        <v>High</v>
      </c>
      <c r="O589" t="str">
        <f t="shared" si="46"/>
        <v>High</v>
      </c>
      <c r="P589" t="str">
        <f t="shared" si="47"/>
        <v>Average</v>
      </c>
      <c r="Q589" t="str">
        <f t="shared" si="48"/>
        <v>Bad</v>
      </c>
      <c r="R589" t="str">
        <f t="shared" si="49"/>
        <v>High</v>
      </c>
    </row>
    <row r="590" spans="1:18" x14ac:dyDescent="0.45">
      <c r="A590">
        <v>589</v>
      </c>
      <c r="B590">
        <v>20</v>
      </c>
      <c r="C590" t="s">
        <v>13</v>
      </c>
      <c r="D590" t="s">
        <v>14</v>
      </c>
      <c r="E590" t="s">
        <v>48</v>
      </c>
      <c r="F590">
        <v>4.4000000000000004</v>
      </c>
      <c r="G590" t="s">
        <v>16</v>
      </c>
      <c r="H590" t="s">
        <v>23</v>
      </c>
      <c r="I590">
        <v>7.4</v>
      </c>
      <c r="J590">
        <v>7</v>
      </c>
      <c r="K590" t="s">
        <v>18</v>
      </c>
      <c r="L590">
        <v>2</v>
      </c>
      <c r="M590">
        <v>5</v>
      </c>
      <c r="N590" t="str">
        <f t="shared" si="45"/>
        <v>Medium</v>
      </c>
      <c r="O590" t="str">
        <f t="shared" si="46"/>
        <v>Average</v>
      </c>
      <c r="P590" t="str">
        <f t="shared" si="47"/>
        <v>High</v>
      </c>
      <c r="Q590" t="str">
        <f t="shared" si="48"/>
        <v>Bad</v>
      </c>
      <c r="R590" t="str">
        <f t="shared" si="49"/>
        <v>Medium</v>
      </c>
    </row>
    <row r="591" spans="1:18" x14ac:dyDescent="0.45">
      <c r="A591">
        <v>590</v>
      </c>
      <c r="B591">
        <v>22</v>
      </c>
      <c r="C591" t="s">
        <v>19</v>
      </c>
      <c r="D591" t="s">
        <v>20</v>
      </c>
      <c r="E591" t="s">
        <v>55</v>
      </c>
      <c r="F591">
        <v>5.7</v>
      </c>
      <c r="G591" t="s">
        <v>22</v>
      </c>
      <c r="H591" t="s">
        <v>17</v>
      </c>
      <c r="I591">
        <v>6.8</v>
      </c>
      <c r="J591">
        <v>6</v>
      </c>
      <c r="K591" t="s">
        <v>24</v>
      </c>
      <c r="L591">
        <v>3</v>
      </c>
      <c r="M591">
        <v>7</v>
      </c>
      <c r="N591" t="str">
        <f t="shared" si="45"/>
        <v>Medium</v>
      </c>
      <c r="O591" t="str">
        <f t="shared" si="46"/>
        <v>High</v>
      </c>
      <c r="P591" t="str">
        <f t="shared" si="47"/>
        <v>Average</v>
      </c>
      <c r="Q591" t="str">
        <f t="shared" si="48"/>
        <v>Bad</v>
      </c>
      <c r="R591" t="str">
        <f t="shared" si="49"/>
        <v>High</v>
      </c>
    </row>
    <row r="592" spans="1:18" x14ac:dyDescent="0.45">
      <c r="A592">
        <v>591</v>
      </c>
      <c r="B592">
        <v>19</v>
      </c>
      <c r="C592" t="s">
        <v>13</v>
      </c>
      <c r="D592" t="s">
        <v>14</v>
      </c>
      <c r="E592" t="s">
        <v>21</v>
      </c>
      <c r="F592">
        <v>7</v>
      </c>
      <c r="G592" t="s">
        <v>16</v>
      </c>
      <c r="H592" t="s">
        <v>17</v>
      </c>
      <c r="I592">
        <v>5.8</v>
      </c>
      <c r="J592">
        <v>4</v>
      </c>
      <c r="K592" t="s">
        <v>24</v>
      </c>
      <c r="L592">
        <v>5</v>
      </c>
      <c r="M592">
        <v>9</v>
      </c>
      <c r="N592" t="str">
        <f t="shared" si="45"/>
        <v>High</v>
      </c>
      <c r="O592" t="str">
        <f t="shared" si="46"/>
        <v>Average</v>
      </c>
      <c r="P592" t="str">
        <f t="shared" si="47"/>
        <v>Average</v>
      </c>
      <c r="Q592" t="str">
        <f t="shared" si="48"/>
        <v>Worst</v>
      </c>
      <c r="R592" t="str">
        <f t="shared" si="49"/>
        <v>High</v>
      </c>
    </row>
    <row r="593" spans="1:18" x14ac:dyDescent="0.45">
      <c r="A593">
        <v>592</v>
      </c>
      <c r="B593">
        <v>23</v>
      </c>
      <c r="C593" t="s">
        <v>19</v>
      </c>
      <c r="D593" t="s">
        <v>20</v>
      </c>
      <c r="E593" t="s">
        <v>51</v>
      </c>
      <c r="F593">
        <v>4.3</v>
      </c>
      <c r="G593" t="s">
        <v>32</v>
      </c>
      <c r="H593" t="s">
        <v>23</v>
      </c>
      <c r="I593">
        <v>7.5</v>
      </c>
      <c r="J593">
        <v>7</v>
      </c>
      <c r="K593" t="s">
        <v>18</v>
      </c>
      <c r="L593">
        <v>2</v>
      </c>
      <c r="M593">
        <v>5</v>
      </c>
      <c r="N593" t="str">
        <f t="shared" si="45"/>
        <v>Medium</v>
      </c>
      <c r="O593" t="str">
        <f t="shared" si="46"/>
        <v>High</v>
      </c>
      <c r="P593" t="str">
        <f t="shared" si="47"/>
        <v>High</v>
      </c>
      <c r="Q593" t="str">
        <f t="shared" si="48"/>
        <v>Bad</v>
      </c>
      <c r="R593" t="str">
        <f t="shared" si="49"/>
        <v>Medium</v>
      </c>
    </row>
    <row r="594" spans="1:18" x14ac:dyDescent="0.45">
      <c r="A594">
        <v>593</v>
      </c>
      <c r="B594">
        <v>21</v>
      </c>
      <c r="C594" t="s">
        <v>13</v>
      </c>
      <c r="D594" t="s">
        <v>14</v>
      </c>
      <c r="E594" t="s">
        <v>65</v>
      </c>
      <c r="F594">
        <v>6.9</v>
      </c>
      <c r="G594" t="s">
        <v>26</v>
      </c>
      <c r="H594" t="s">
        <v>17</v>
      </c>
      <c r="I594">
        <v>6.1</v>
      </c>
      <c r="J594">
        <v>5</v>
      </c>
      <c r="K594" t="s">
        <v>24</v>
      </c>
      <c r="L594">
        <v>4</v>
      </c>
      <c r="M594">
        <v>8</v>
      </c>
      <c r="N594" t="str">
        <f t="shared" si="45"/>
        <v>High</v>
      </c>
      <c r="O594" t="str">
        <f t="shared" si="46"/>
        <v>Average</v>
      </c>
      <c r="P594" t="str">
        <f t="shared" si="47"/>
        <v>Average</v>
      </c>
      <c r="Q594" t="str">
        <f t="shared" si="48"/>
        <v>Bad</v>
      </c>
      <c r="R594" t="str">
        <f t="shared" si="49"/>
        <v>High</v>
      </c>
    </row>
    <row r="595" spans="1:18" x14ac:dyDescent="0.45">
      <c r="A595">
        <v>594</v>
      </c>
      <c r="B595">
        <v>24</v>
      </c>
      <c r="C595" t="s">
        <v>19</v>
      </c>
      <c r="D595" t="s">
        <v>20</v>
      </c>
      <c r="E595" t="s">
        <v>25</v>
      </c>
      <c r="F595">
        <v>5.6</v>
      </c>
      <c r="G595" t="s">
        <v>16</v>
      </c>
      <c r="H595" t="s">
        <v>17</v>
      </c>
      <c r="I595">
        <v>6.9</v>
      </c>
      <c r="J595">
        <v>6</v>
      </c>
      <c r="K595" t="s">
        <v>18</v>
      </c>
      <c r="L595">
        <v>3</v>
      </c>
      <c r="M595">
        <v>7</v>
      </c>
      <c r="N595" t="str">
        <f t="shared" si="45"/>
        <v>Medium</v>
      </c>
      <c r="O595" t="str">
        <f t="shared" si="46"/>
        <v>Average</v>
      </c>
      <c r="P595" t="str">
        <f t="shared" si="47"/>
        <v>Average</v>
      </c>
      <c r="Q595" t="str">
        <f t="shared" si="48"/>
        <v>Bad</v>
      </c>
      <c r="R595" t="str">
        <f t="shared" si="49"/>
        <v>High</v>
      </c>
    </row>
    <row r="596" spans="1:18" x14ac:dyDescent="0.45">
      <c r="A596">
        <v>595</v>
      </c>
      <c r="B596">
        <v>20</v>
      </c>
      <c r="C596" t="s">
        <v>13</v>
      </c>
      <c r="D596" t="s">
        <v>14</v>
      </c>
      <c r="E596" t="s">
        <v>43</v>
      </c>
      <c r="F596">
        <v>6.2</v>
      </c>
      <c r="G596" t="s">
        <v>32</v>
      </c>
      <c r="H596" t="s">
        <v>17</v>
      </c>
      <c r="I596">
        <v>6.3</v>
      </c>
      <c r="J596">
        <v>5</v>
      </c>
      <c r="K596" t="s">
        <v>24</v>
      </c>
      <c r="L596">
        <v>4</v>
      </c>
      <c r="M596">
        <v>8</v>
      </c>
      <c r="N596" t="str">
        <f t="shared" si="45"/>
        <v>Medium</v>
      </c>
      <c r="O596" t="str">
        <f t="shared" si="46"/>
        <v>High</v>
      </c>
      <c r="P596" t="str">
        <f t="shared" si="47"/>
        <v>Average</v>
      </c>
      <c r="Q596" t="str">
        <f t="shared" si="48"/>
        <v>Bad</v>
      </c>
      <c r="R596" t="str">
        <f t="shared" si="49"/>
        <v>High</v>
      </c>
    </row>
    <row r="597" spans="1:18" x14ac:dyDescent="0.45">
      <c r="A597">
        <v>596</v>
      </c>
      <c r="B597">
        <v>21</v>
      </c>
      <c r="C597" t="s">
        <v>19</v>
      </c>
      <c r="D597" t="s">
        <v>14</v>
      </c>
      <c r="E597" t="s">
        <v>40</v>
      </c>
      <c r="F597">
        <v>5.8</v>
      </c>
      <c r="G597" t="s">
        <v>16</v>
      </c>
      <c r="H597" t="s">
        <v>17</v>
      </c>
      <c r="I597">
        <v>6.7</v>
      </c>
      <c r="J597">
        <v>6</v>
      </c>
      <c r="K597" t="s">
        <v>24</v>
      </c>
      <c r="L597">
        <v>3</v>
      </c>
      <c r="M597">
        <v>7</v>
      </c>
      <c r="N597" t="str">
        <f t="shared" si="45"/>
        <v>Medium</v>
      </c>
      <c r="O597" t="str">
        <f t="shared" si="46"/>
        <v>Average</v>
      </c>
      <c r="P597" t="str">
        <f t="shared" si="47"/>
        <v>Average</v>
      </c>
      <c r="Q597" t="str">
        <f t="shared" si="48"/>
        <v>Bad</v>
      </c>
      <c r="R597" t="str">
        <f t="shared" si="49"/>
        <v>High</v>
      </c>
    </row>
    <row r="598" spans="1:18" x14ac:dyDescent="0.45">
      <c r="A598">
        <v>597</v>
      </c>
      <c r="B598">
        <v>23</v>
      </c>
      <c r="C598" t="s">
        <v>13</v>
      </c>
      <c r="D598" t="s">
        <v>20</v>
      </c>
      <c r="E598" t="s">
        <v>31</v>
      </c>
      <c r="F598">
        <v>4.9000000000000004</v>
      </c>
      <c r="G598" t="s">
        <v>26</v>
      </c>
      <c r="H598" t="s">
        <v>23</v>
      </c>
      <c r="I598">
        <v>7.3</v>
      </c>
      <c r="J598">
        <v>7</v>
      </c>
      <c r="K598" t="s">
        <v>18</v>
      </c>
      <c r="L598">
        <v>2</v>
      </c>
      <c r="M598">
        <v>5</v>
      </c>
      <c r="N598" t="str">
        <f t="shared" si="45"/>
        <v>Medium</v>
      </c>
      <c r="O598" t="str">
        <f t="shared" si="46"/>
        <v>Average</v>
      </c>
      <c r="P598" t="str">
        <f t="shared" si="47"/>
        <v>High</v>
      </c>
      <c r="Q598" t="str">
        <f t="shared" si="48"/>
        <v>Bad</v>
      </c>
      <c r="R598" t="str">
        <f t="shared" si="49"/>
        <v>Medium</v>
      </c>
    </row>
    <row r="599" spans="1:18" x14ac:dyDescent="0.45">
      <c r="A599">
        <v>598</v>
      </c>
      <c r="B599">
        <v>20</v>
      </c>
      <c r="C599" t="s">
        <v>19</v>
      </c>
      <c r="D599" t="s">
        <v>14</v>
      </c>
      <c r="E599" t="s">
        <v>29</v>
      </c>
      <c r="F599">
        <v>6.4</v>
      </c>
      <c r="G599" t="s">
        <v>32</v>
      </c>
      <c r="H599" t="s">
        <v>17</v>
      </c>
      <c r="I599">
        <v>6.2</v>
      </c>
      <c r="J599">
        <v>5</v>
      </c>
      <c r="K599" t="s">
        <v>24</v>
      </c>
      <c r="L599">
        <v>4</v>
      </c>
      <c r="M599">
        <v>8</v>
      </c>
      <c r="N599" t="str">
        <f t="shared" si="45"/>
        <v>Medium</v>
      </c>
      <c r="O599" t="str">
        <f t="shared" si="46"/>
        <v>Average</v>
      </c>
      <c r="P599" t="str">
        <f t="shared" si="47"/>
        <v>Average</v>
      </c>
      <c r="Q599" t="str">
        <f t="shared" si="48"/>
        <v>Bad</v>
      </c>
      <c r="R599" t="str">
        <f t="shared" si="49"/>
        <v>High</v>
      </c>
    </row>
    <row r="600" spans="1:18" x14ac:dyDescent="0.45">
      <c r="A600">
        <v>599</v>
      </c>
      <c r="B600">
        <v>22</v>
      </c>
      <c r="C600" t="s">
        <v>13</v>
      </c>
      <c r="D600" t="s">
        <v>20</v>
      </c>
      <c r="E600" t="s">
        <v>42</v>
      </c>
      <c r="F600">
        <v>5.0999999999999996</v>
      </c>
      <c r="G600" t="s">
        <v>22</v>
      </c>
      <c r="H600" t="s">
        <v>23</v>
      </c>
      <c r="I600">
        <v>7.1</v>
      </c>
      <c r="J600">
        <v>7</v>
      </c>
      <c r="K600" t="s">
        <v>18</v>
      </c>
      <c r="L600">
        <v>2</v>
      </c>
      <c r="M600">
        <v>5</v>
      </c>
      <c r="N600" t="str">
        <f t="shared" si="45"/>
        <v>Medium</v>
      </c>
      <c r="O600" t="str">
        <f t="shared" si="46"/>
        <v>High</v>
      </c>
      <c r="P600" t="str">
        <f t="shared" si="47"/>
        <v>High</v>
      </c>
      <c r="Q600" t="str">
        <f t="shared" si="48"/>
        <v>Bad</v>
      </c>
      <c r="R600" t="str">
        <f t="shared" si="49"/>
        <v>Medium</v>
      </c>
    </row>
    <row r="601" spans="1:18" x14ac:dyDescent="0.45">
      <c r="A601">
        <v>600</v>
      </c>
      <c r="B601">
        <v>19</v>
      </c>
      <c r="C601" t="s">
        <v>19</v>
      </c>
      <c r="D601" t="s">
        <v>14</v>
      </c>
      <c r="E601" t="s">
        <v>44</v>
      </c>
      <c r="F601">
        <v>6.7</v>
      </c>
      <c r="G601" t="s">
        <v>16</v>
      </c>
      <c r="H601" t="s">
        <v>17</v>
      </c>
      <c r="I601">
        <v>6</v>
      </c>
      <c r="J601">
        <v>4</v>
      </c>
      <c r="K601" t="s">
        <v>24</v>
      </c>
      <c r="L601">
        <v>4</v>
      </c>
      <c r="M601">
        <v>8</v>
      </c>
      <c r="N601" t="str">
        <f t="shared" si="45"/>
        <v>High</v>
      </c>
      <c r="O601" t="str">
        <f t="shared" si="46"/>
        <v>Average</v>
      </c>
      <c r="P601" t="str">
        <f t="shared" si="47"/>
        <v>Average</v>
      </c>
      <c r="Q601" t="str">
        <f t="shared" si="48"/>
        <v>Worst</v>
      </c>
      <c r="R601" t="str">
        <f t="shared" si="49"/>
        <v>High</v>
      </c>
    </row>
    <row r="602" spans="1:18" x14ac:dyDescent="0.45">
      <c r="A602">
        <v>601</v>
      </c>
      <c r="B602">
        <v>24</v>
      </c>
      <c r="C602" t="s">
        <v>13</v>
      </c>
      <c r="D602" t="s">
        <v>20</v>
      </c>
      <c r="E602" t="s">
        <v>45</v>
      </c>
      <c r="F602">
        <v>5.5</v>
      </c>
      <c r="G602" t="s">
        <v>144</v>
      </c>
      <c r="H602" t="s">
        <v>17</v>
      </c>
      <c r="I602">
        <v>6.8</v>
      </c>
      <c r="J602">
        <v>6</v>
      </c>
      <c r="K602" t="s">
        <v>18</v>
      </c>
      <c r="L602">
        <v>3</v>
      </c>
      <c r="M602">
        <v>7</v>
      </c>
      <c r="N602" t="str">
        <f t="shared" si="45"/>
        <v>Medium</v>
      </c>
      <c r="O602" t="str">
        <f t="shared" si="46"/>
        <v>Average</v>
      </c>
      <c r="P602" t="str">
        <f t="shared" si="47"/>
        <v>Average</v>
      </c>
      <c r="Q602" t="str">
        <f t="shared" si="48"/>
        <v>Bad</v>
      </c>
      <c r="R602" t="str">
        <f t="shared" si="49"/>
        <v>High</v>
      </c>
    </row>
    <row r="603" spans="1:18" x14ac:dyDescent="0.45">
      <c r="A603">
        <v>602</v>
      </c>
      <c r="B603">
        <v>21</v>
      </c>
      <c r="C603" t="s">
        <v>19</v>
      </c>
      <c r="D603" t="s">
        <v>14</v>
      </c>
      <c r="E603" t="s">
        <v>38</v>
      </c>
      <c r="F603">
        <v>4.3</v>
      </c>
      <c r="G603" t="s">
        <v>22</v>
      </c>
      <c r="H603" t="s">
        <v>23</v>
      </c>
      <c r="I603">
        <v>7.6</v>
      </c>
      <c r="J603">
        <v>8</v>
      </c>
      <c r="K603" t="s">
        <v>24</v>
      </c>
      <c r="L603">
        <v>2</v>
      </c>
      <c r="M603">
        <v>4</v>
      </c>
      <c r="N603" t="str">
        <f t="shared" si="45"/>
        <v>Medium</v>
      </c>
      <c r="O603" t="str">
        <f t="shared" si="46"/>
        <v>High</v>
      </c>
      <c r="P603" t="str">
        <f t="shared" si="47"/>
        <v>High</v>
      </c>
      <c r="Q603" t="str">
        <f t="shared" si="48"/>
        <v>Good</v>
      </c>
      <c r="R603" t="str">
        <f t="shared" si="49"/>
        <v>Medium</v>
      </c>
    </row>
    <row r="604" spans="1:18" x14ac:dyDescent="0.45">
      <c r="A604">
        <v>603</v>
      </c>
      <c r="B604">
        <v>23</v>
      </c>
      <c r="C604" t="s">
        <v>13</v>
      </c>
      <c r="D604" t="s">
        <v>20</v>
      </c>
      <c r="E604" t="s">
        <v>90</v>
      </c>
      <c r="F604">
        <v>6.2</v>
      </c>
      <c r="G604" t="s">
        <v>16</v>
      </c>
      <c r="H604" t="s">
        <v>17</v>
      </c>
      <c r="I604">
        <v>6.4</v>
      </c>
      <c r="J604">
        <v>5</v>
      </c>
      <c r="K604" t="s">
        <v>24</v>
      </c>
      <c r="L604">
        <v>4</v>
      </c>
      <c r="M604">
        <v>8</v>
      </c>
      <c r="N604" t="str">
        <f t="shared" si="45"/>
        <v>Medium</v>
      </c>
      <c r="O604" t="str">
        <f t="shared" si="46"/>
        <v>Average</v>
      </c>
      <c r="P604" t="str">
        <f t="shared" si="47"/>
        <v>Average</v>
      </c>
      <c r="Q604" t="str">
        <f t="shared" si="48"/>
        <v>Bad</v>
      </c>
      <c r="R604" t="str">
        <f t="shared" si="49"/>
        <v>High</v>
      </c>
    </row>
    <row r="605" spans="1:18" x14ac:dyDescent="0.45">
      <c r="A605">
        <v>604</v>
      </c>
      <c r="B605">
        <v>20</v>
      </c>
      <c r="C605" t="s">
        <v>19</v>
      </c>
      <c r="D605" t="s">
        <v>14</v>
      </c>
      <c r="E605" t="s">
        <v>89</v>
      </c>
      <c r="F605">
        <v>4.5</v>
      </c>
      <c r="G605" t="s">
        <v>32</v>
      </c>
      <c r="H605" t="s">
        <v>23</v>
      </c>
      <c r="I605">
        <v>7.4</v>
      </c>
      <c r="J605">
        <v>7</v>
      </c>
      <c r="K605" t="s">
        <v>18</v>
      </c>
      <c r="L605">
        <v>2</v>
      </c>
      <c r="M605">
        <v>5</v>
      </c>
      <c r="N605" t="str">
        <f t="shared" si="45"/>
        <v>Medium</v>
      </c>
      <c r="O605" t="str">
        <f t="shared" si="46"/>
        <v>Average</v>
      </c>
      <c r="P605" t="str">
        <f t="shared" si="47"/>
        <v>High</v>
      </c>
      <c r="Q605" t="str">
        <f t="shared" si="48"/>
        <v>Bad</v>
      </c>
      <c r="R605" t="str">
        <f t="shared" si="49"/>
        <v>Medium</v>
      </c>
    </row>
    <row r="606" spans="1:18" x14ac:dyDescent="0.45">
      <c r="A606">
        <v>605</v>
      </c>
      <c r="B606">
        <v>22</v>
      </c>
      <c r="C606" t="s">
        <v>13</v>
      </c>
      <c r="D606" t="s">
        <v>20</v>
      </c>
      <c r="E606" t="s">
        <v>41</v>
      </c>
      <c r="F606">
        <v>6.3</v>
      </c>
      <c r="G606" t="s">
        <v>26</v>
      </c>
      <c r="H606" t="s">
        <v>17</v>
      </c>
      <c r="I606">
        <v>6.3</v>
      </c>
      <c r="J606">
        <v>5</v>
      </c>
      <c r="K606" t="s">
        <v>24</v>
      </c>
      <c r="L606">
        <v>4</v>
      </c>
      <c r="M606">
        <v>8</v>
      </c>
      <c r="N606" t="str">
        <f t="shared" si="45"/>
        <v>Medium</v>
      </c>
      <c r="O606" t="str">
        <f t="shared" si="46"/>
        <v>High</v>
      </c>
      <c r="P606" t="str">
        <f t="shared" si="47"/>
        <v>Average</v>
      </c>
      <c r="Q606" t="str">
        <f t="shared" si="48"/>
        <v>Bad</v>
      </c>
      <c r="R606" t="str">
        <f t="shared" si="49"/>
        <v>High</v>
      </c>
    </row>
    <row r="607" spans="1:18" x14ac:dyDescent="0.45">
      <c r="A607">
        <v>606</v>
      </c>
      <c r="B607">
        <v>19</v>
      </c>
      <c r="C607" t="s">
        <v>19</v>
      </c>
      <c r="D607" t="s">
        <v>14</v>
      </c>
      <c r="E607" t="s">
        <v>48</v>
      </c>
      <c r="F607">
        <v>4.7</v>
      </c>
      <c r="G607" t="s">
        <v>16</v>
      </c>
      <c r="H607" t="s">
        <v>23</v>
      </c>
      <c r="I607">
        <v>7.2</v>
      </c>
      <c r="J607">
        <v>7</v>
      </c>
      <c r="K607" t="s">
        <v>18</v>
      </c>
      <c r="L607">
        <v>2</v>
      </c>
      <c r="M607">
        <v>5</v>
      </c>
      <c r="N607" t="str">
        <f t="shared" si="45"/>
        <v>Medium</v>
      </c>
      <c r="O607" t="str">
        <f t="shared" si="46"/>
        <v>Average</v>
      </c>
      <c r="P607" t="str">
        <f t="shared" si="47"/>
        <v>High</v>
      </c>
      <c r="Q607" t="str">
        <f t="shared" si="48"/>
        <v>Bad</v>
      </c>
      <c r="R607" t="str">
        <f t="shared" si="49"/>
        <v>Medium</v>
      </c>
    </row>
    <row r="608" spans="1:18" x14ac:dyDescent="0.45">
      <c r="A608">
        <v>607</v>
      </c>
      <c r="B608">
        <v>24</v>
      </c>
      <c r="C608" t="s">
        <v>13</v>
      </c>
      <c r="D608" t="s">
        <v>20</v>
      </c>
      <c r="E608" t="s">
        <v>55</v>
      </c>
      <c r="F608">
        <v>5.9</v>
      </c>
      <c r="G608" t="s">
        <v>22</v>
      </c>
      <c r="H608" t="s">
        <v>17</v>
      </c>
      <c r="I608">
        <v>6.6</v>
      </c>
      <c r="J608">
        <v>6</v>
      </c>
      <c r="K608" t="s">
        <v>24</v>
      </c>
      <c r="L608">
        <v>3</v>
      </c>
      <c r="M608">
        <v>7</v>
      </c>
      <c r="N608" t="str">
        <f t="shared" si="45"/>
        <v>Medium</v>
      </c>
      <c r="O608" t="str">
        <f t="shared" si="46"/>
        <v>High</v>
      </c>
      <c r="P608" t="str">
        <f t="shared" si="47"/>
        <v>Average</v>
      </c>
      <c r="Q608" t="str">
        <f t="shared" si="48"/>
        <v>Bad</v>
      </c>
      <c r="R608" t="str">
        <f t="shared" si="49"/>
        <v>High</v>
      </c>
    </row>
    <row r="609" spans="1:18" x14ac:dyDescent="0.45">
      <c r="A609">
        <v>608</v>
      </c>
      <c r="B609">
        <v>21</v>
      </c>
      <c r="C609" t="s">
        <v>19</v>
      </c>
      <c r="D609" t="s">
        <v>14</v>
      </c>
      <c r="E609" t="s">
        <v>21</v>
      </c>
      <c r="F609">
        <v>7.1</v>
      </c>
      <c r="G609" t="s">
        <v>32</v>
      </c>
      <c r="H609" t="s">
        <v>17</v>
      </c>
      <c r="I609">
        <v>5.7</v>
      </c>
      <c r="J609">
        <v>4</v>
      </c>
      <c r="K609" t="s">
        <v>24</v>
      </c>
      <c r="L609">
        <v>5</v>
      </c>
      <c r="M609">
        <v>9</v>
      </c>
      <c r="N609" t="str">
        <f t="shared" si="45"/>
        <v>High</v>
      </c>
      <c r="O609" t="str">
        <f t="shared" si="46"/>
        <v>Average</v>
      </c>
      <c r="P609" t="str">
        <f t="shared" si="47"/>
        <v>Average</v>
      </c>
      <c r="Q609" t="str">
        <f t="shared" si="48"/>
        <v>Worst</v>
      </c>
      <c r="R609" t="str">
        <f t="shared" si="49"/>
        <v>High</v>
      </c>
    </row>
    <row r="610" spans="1:18" x14ac:dyDescent="0.45">
      <c r="A610">
        <v>609</v>
      </c>
      <c r="B610">
        <v>23</v>
      </c>
      <c r="C610" t="s">
        <v>13</v>
      </c>
      <c r="D610" t="s">
        <v>20</v>
      </c>
      <c r="E610" t="s">
        <v>51</v>
      </c>
      <c r="F610">
        <v>4.4000000000000004</v>
      </c>
      <c r="G610" t="s">
        <v>16</v>
      </c>
      <c r="H610" t="s">
        <v>23</v>
      </c>
      <c r="I610">
        <v>7.4</v>
      </c>
      <c r="J610">
        <v>7</v>
      </c>
      <c r="K610" t="s">
        <v>18</v>
      </c>
      <c r="L610">
        <v>2</v>
      </c>
      <c r="M610">
        <v>5</v>
      </c>
      <c r="N610" t="str">
        <f t="shared" si="45"/>
        <v>Medium</v>
      </c>
      <c r="O610" t="str">
        <f t="shared" si="46"/>
        <v>High</v>
      </c>
      <c r="P610" t="str">
        <f t="shared" si="47"/>
        <v>High</v>
      </c>
      <c r="Q610" t="str">
        <f t="shared" si="48"/>
        <v>Bad</v>
      </c>
      <c r="R610" t="str">
        <f t="shared" si="49"/>
        <v>Medium</v>
      </c>
    </row>
    <row r="611" spans="1:18" x14ac:dyDescent="0.45">
      <c r="A611">
        <v>610</v>
      </c>
      <c r="B611">
        <v>20</v>
      </c>
      <c r="C611" t="s">
        <v>19</v>
      </c>
      <c r="D611" t="s">
        <v>14</v>
      </c>
      <c r="E611" t="s">
        <v>65</v>
      </c>
      <c r="F611">
        <v>6.6</v>
      </c>
      <c r="G611" t="s">
        <v>26</v>
      </c>
      <c r="H611" t="s">
        <v>17</v>
      </c>
      <c r="I611">
        <v>6.2</v>
      </c>
      <c r="J611">
        <v>5</v>
      </c>
      <c r="K611" t="s">
        <v>24</v>
      </c>
      <c r="L611">
        <v>4</v>
      </c>
      <c r="M611">
        <v>8</v>
      </c>
      <c r="N611" t="str">
        <f t="shared" si="45"/>
        <v>High</v>
      </c>
      <c r="O611" t="str">
        <f t="shared" si="46"/>
        <v>Average</v>
      </c>
      <c r="P611" t="str">
        <f t="shared" si="47"/>
        <v>Average</v>
      </c>
      <c r="Q611" t="str">
        <f t="shared" si="48"/>
        <v>Bad</v>
      </c>
      <c r="R611" t="str">
        <f t="shared" si="49"/>
        <v>High</v>
      </c>
    </row>
    <row r="612" spans="1:18" x14ac:dyDescent="0.45">
      <c r="A612">
        <v>611</v>
      </c>
      <c r="B612">
        <v>22</v>
      </c>
      <c r="C612" t="s">
        <v>13</v>
      </c>
      <c r="D612" t="s">
        <v>20</v>
      </c>
      <c r="E612" t="s">
        <v>25</v>
      </c>
      <c r="F612">
        <v>5.4</v>
      </c>
      <c r="G612" t="s">
        <v>16</v>
      </c>
      <c r="H612" t="s">
        <v>17</v>
      </c>
      <c r="I612">
        <v>6.9</v>
      </c>
      <c r="J612">
        <v>6</v>
      </c>
      <c r="K612" t="s">
        <v>18</v>
      </c>
      <c r="L612">
        <v>3</v>
      </c>
      <c r="M612">
        <v>7</v>
      </c>
      <c r="N612" t="str">
        <f t="shared" si="45"/>
        <v>Medium</v>
      </c>
      <c r="O612" t="str">
        <f t="shared" si="46"/>
        <v>Average</v>
      </c>
      <c r="P612" t="str">
        <f t="shared" si="47"/>
        <v>Average</v>
      </c>
      <c r="Q612" t="str">
        <f t="shared" si="48"/>
        <v>Bad</v>
      </c>
      <c r="R612" t="str">
        <f t="shared" si="49"/>
        <v>High</v>
      </c>
    </row>
    <row r="613" spans="1:18" x14ac:dyDescent="0.45">
      <c r="A613">
        <v>612</v>
      </c>
      <c r="B613">
        <v>19</v>
      </c>
      <c r="C613" t="s">
        <v>19</v>
      </c>
      <c r="D613" t="s">
        <v>14</v>
      </c>
      <c r="E613" t="s">
        <v>43</v>
      </c>
      <c r="F613">
        <v>6.5</v>
      </c>
      <c r="G613" t="s">
        <v>32</v>
      </c>
      <c r="H613" t="s">
        <v>17</v>
      </c>
      <c r="I613">
        <v>6.1</v>
      </c>
      <c r="J613">
        <v>5</v>
      </c>
      <c r="K613" t="s">
        <v>24</v>
      </c>
      <c r="L613">
        <v>4</v>
      </c>
      <c r="M613">
        <v>8</v>
      </c>
      <c r="N613" t="str">
        <f t="shared" si="45"/>
        <v>Medium</v>
      </c>
      <c r="O613" t="str">
        <f t="shared" si="46"/>
        <v>High</v>
      </c>
      <c r="P613" t="str">
        <f t="shared" si="47"/>
        <v>Average</v>
      </c>
      <c r="Q613" t="str">
        <f t="shared" si="48"/>
        <v>Bad</v>
      </c>
      <c r="R613" t="str">
        <f t="shared" si="49"/>
        <v>High</v>
      </c>
    </row>
    <row r="614" spans="1:18" x14ac:dyDescent="0.45">
      <c r="A614">
        <v>613</v>
      </c>
      <c r="B614">
        <v>24</v>
      </c>
      <c r="C614" t="s">
        <v>13</v>
      </c>
      <c r="D614" t="s">
        <v>20</v>
      </c>
      <c r="E614" t="s">
        <v>40</v>
      </c>
      <c r="F614">
        <v>4.8</v>
      </c>
      <c r="G614" t="s">
        <v>22</v>
      </c>
      <c r="H614" t="s">
        <v>23</v>
      </c>
      <c r="I614">
        <v>7.3</v>
      </c>
      <c r="J614">
        <v>7</v>
      </c>
      <c r="K614" t="s">
        <v>18</v>
      </c>
      <c r="L614">
        <v>2</v>
      </c>
      <c r="M614">
        <v>5</v>
      </c>
      <c r="N614" t="str">
        <f t="shared" si="45"/>
        <v>Medium</v>
      </c>
      <c r="O614" t="str">
        <f t="shared" si="46"/>
        <v>Average</v>
      </c>
      <c r="P614" t="str">
        <f t="shared" si="47"/>
        <v>High</v>
      </c>
      <c r="Q614" t="str">
        <f t="shared" si="48"/>
        <v>Bad</v>
      </c>
      <c r="R614" t="str">
        <f t="shared" si="49"/>
        <v>Medium</v>
      </c>
    </row>
    <row r="615" spans="1:18" x14ac:dyDescent="0.45">
      <c r="A615">
        <v>614</v>
      </c>
      <c r="B615">
        <v>21</v>
      </c>
      <c r="C615" t="s">
        <v>19</v>
      </c>
      <c r="D615" t="s">
        <v>14</v>
      </c>
      <c r="E615" t="s">
        <v>31</v>
      </c>
      <c r="F615">
        <v>5.7</v>
      </c>
      <c r="G615" t="s">
        <v>16</v>
      </c>
      <c r="H615" t="s">
        <v>17</v>
      </c>
      <c r="I615">
        <v>6.7</v>
      </c>
      <c r="J615">
        <v>6</v>
      </c>
      <c r="K615" t="s">
        <v>24</v>
      </c>
      <c r="L615">
        <v>3</v>
      </c>
      <c r="M615">
        <v>7</v>
      </c>
      <c r="N615" t="str">
        <f t="shared" si="45"/>
        <v>Medium</v>
      </c>
      <c r="O615" t="str">
        <f t="shared" si="46"/>
        <v>Average</v>
      </c>
      <c r="P615" t="str">
        <f t="shared" si="47"/>
        <v>Average</v>
      </c>
      <c r="Q615" t="str">
        <f t="shared" si="48"/>
        <v>Bad</v>
      </c>
      <c r="R615" t="str">
        <f t="shared" si="49"/>
        <v>High</v>
      </c>
    </row>
    <row r="616" spans="1:18" x14ac:dyDescent="0.45">
      <c r="A616">
        <v>615</v>
      </c>
      <c r="B616">
        <v>23</v>
      </c>
      <c r="C616" t="s">
        <v>13</v>
      </c>
      <c r="D616" t="s">
        <v>20</v>
      </c>
      <c r="E616" t="s">
        <v>29</v>
      </c>
      <c r="F616">
        <v>6.1</v>
      </c>
      <c r="G616" t="s">
        <v>26</v>
      </c>
      <c r="H616" t="s">
        <v>17</v>
      </c>
      <c r="I616">
        <v>6.4</v>
      </c>
      <c r="J616">
        <v>5</v>
      </c>
      <c r="K616" t="s">
        <v>24</v>
      </c>
      <c r="L616">
        <v>4</v>
      </c>
      <c r="M616">
        <v>8</v>
      </c>
      <c r="N616" t="str">
        <f t="shared" si="45"/>
        <v>Medium</v>
      </c>
      <c r="O616" t="str">
        <f t="shared" si="46"/>
        <v>Average</v>
      </c>
      <c r="P616" t="str">
        <f t="shared" si="47"/>
        <v>Average</v>
      </c>
      <c r="Q616" t="str">
        <f t="shared" si="48"/>
        <v>Bad</v>
      </c>
      <c r="R616" t="str">
        <f t="shared" si="49"/>
        <v>High</v>
      </c>
    </row>
    <row r="617" spans="1:18" x14ac:dyDescent="0.45">
      <c r="A617">
        <v>616</v>
      </c>
      <c r="B617">
        <v>20</v>
      </c>
      <c r="C617" t="s">
        <v>19</v>
      </c>
      <c r="D617" t="s">
        <v>14</v>
      </c>
      <c r="E617" t="s">
        <v>42</v>
      </c>
      <c r="F617">
        <v>4.5999999999999996</v>
      </c>
      <c r="G617" t="s">
        <v>32</v>
      </c>
      <c r="H617" t="s">
        <v>23</v>
      </c>
      <c r="I617">
        <v>7.2</v>
      </c>
      <c r="J617">
        <v>7</v>
      </c>
      <c r="K617" t="s">
        <v>18</v>
      </c>
      <c r="L617">
        <v>2</v>
      </c>
      <c r="M617">
        <v>5</v>
      </c>
      <c r="N617" t="str">
        <f t="shared" si="45"/>
        <v>Medium</v>
      </c>
      <c r="O617" t="str">
        <f t="shared" si="46"/>
        <v>High</v>
      </c>
      <c r="P617" t="str">
        <f t="shared" si="47"/>
        <v>High</v>
      </c>
      <c r="Q617" t="str">
        <f t="shared" si="48"/>
        <v>Bad</v>
      </c>
      <c r="R617" t="str">
        <f t="shared" si="49"/>
        <v>Medium</v>
      </c>
    </row>
    <row r="618" spans="1:18" x14ac:dyDescent="0.45">
      <c r="A618">
        <v>617</v>
      </c>
      <c r="B618">
        <v>22</v>
      </c>
      <c r="C618" t="s">
        <v>13</v>
      </c>
      <c r="D618" t="s">
        <v>20</v>
      </c>
      <c r="E618" t="s">
        <v>44</v>
      </c>
      <c r="F618">
        <v>6.8</v>
      </c>
      <c r="G618" t="s">
        <v>16</v>
      </c>
      <c r="H618" t="s">
        <v>17</v>
      </c>
      <c r="I618">
        <v>5.9</v>
      </c>
      <c r="J618">
        <v>4</v>
      </c>
      <c r="K618" t="s">
        <v>24</v>
      </c>
      <c r="L618">
        <v>5</v>
      </c>
      <c r="M618">
        <v>9</v>
      </c>
      <c r="N618" t="str">
        <f t="shared" si="45"/>
        <v>High</v>
      </c>
      <c r="O618" t="str">
        <f t="shared" si="46"/>
        <v>Average</v>
      </c>
      <c r="P618" t="str">
        <f t="shared" si="47"/>
        <v>Average</v>
      </c>
      <c r="Q618" t="str">
        <f t="shared" si="48"/>
        <v>Worst</v>
      </c>
      <c r="R618" t="str">
        <f t="shared" si="49"/>
        <v>High</v>
      </c>
    </row>
    <row r="619" spans="1:18" x14ac:dyDescent="0.45">
      <c r="A619">
        <v>618</v>
      </c>
      <c r="B619">
        <v>19</v>
      </c>
      <c r="C619" t="s">
        <v>19</v>
      </c>
      <c r="D619" t="s">
        <v>14</v>
      </c>
      <c r="E619" t="s">
        <v>45</v>
      </c>
      <c r="F619">
        <v>5.6</v>
      </c>
      <c r="G619" t="s">
        <v>144</v>
      </c>
      <c r="H619" t="s">
        <v>17</v>
      </c>
      <c r="I619">
        <v>6.8</v>
      </c>
      <c r="J619">
        <v>6</v>
      </c>
      <c r="K619" t="s">
        <v>18</v>
      </c>
      <c r="L619">
        <v>3</v>
      </c>
      <c r="M619">
        <v>7</v>
      </c>
      <c r="N619" t="str">
        <f t="shared" si="45"/>
        <v>Medium</v>
      </c>
      <c r="O619" t="str">
        <f t="shared" si="46"/>
        <v>Average</v>
      </c>
      <c r="P619" t="str">
        <f t="shared" si="47"/>
        <v>Average</v>
      </c>
      <c r="Q619" t="str">
        <f t="shared" si="48"/>
        <v>Bad</v>
      </c>
      <c r="R619" t="str">
        <f t="shared" si="49"/>
        <v>High</v>
      </c>
    </row>
    <row r="620" spans="1:18" x14ac:dyDescent="0.45">
      <c r="A620">
        <v>619</v>
      </c>
      <c r="B620">
        <v>24</v>
      </c>
      <c r="C620" t="s">
        <v>13</v>
      </c>
      <c r="D620" t="s">
        <v>20</v>
      </c>
      <c r="E620" t="s">
        <v>38</v>
      </c>
      <c r="F620">
        <v>4.2</v>
      </c>
      <c r="G620" t="s">
        <v>22</v>
      </c>
      <c r="H620" t="s">
        <v>23</v>
      </c>
      <c r="I620">
        <v>7.5</v>
      </c>
      <c r="J620">
        <v>8</v>
      </c>
      <c r="K620" t="s">
        <v>24</v>
      </c>
      <c r="L620">
        <v>2</v>
      </c>
      <c r="M620">
        <v>4</v>
      </c>
      <c r="N620" t="str">
        <f t="shared" si="45"/>
        <v>Medium</v>
      </c>
      <c r="O620" t="str">
        <f t="shared" si="46"/>
        <v>High</v>
      </c>
      <c r="P620" t="str">
        <f t="shared" si="47"/>
        <v>High</v>
      </c>
      <c r="Q620" t="str">
        <f t="shared" si="48"/>
        <v>Good</v>
      </c>
      <c r="R620" t="str">
        <f t="shared" si="49"/>
        <v>Medium</v>
      </c>
    </row>
    <row r="621" spans="1:18" x14ac:dyDescent="0.45">
      <c r="A621">
        <v>620</v>
      </c>
      <c r="B621">
        <v>21</v>
      </c>
      <c r="C621" t="s">
        <v>19</v>
      </c>
      <c r="D621" t="s">
        <v>14</v>
      </c>
      <c r="E621" t="s">
        <v>90</v>
      </c>
      <c r="F621">
        <v>6.3</v>
      </c>
      <c r="G621" t="s">
        <v>26</v>
      </c>
      <c r="H621" t="s">
        <v>17</v>
      </c>
      <c r="I621">
        <v>6.3</v>
      </c>
      <c r="J621">
        <v>5</v>
      </c>
      <c r="K621" t="s">
        <v>24</v>
      </c>
      <c r="L621">
        <v>4</v>
      </c>
      <c r="M621">
        <v>8</v>
      </c>
      <c r="N621" t="str">
        <f t="shared" si="45"/>
        <v>Medium</v>
      </c>
      <c r="O621" t="str">
        <f t="shared" si="46"/>
        <v>Average</v>
      </c>
      <c r="P621" t="str">
        <f t="shared" si="47"/>
        <v>Average</v>
      </c>
      <c r="Q621" t="str">
        <f t="shared" si="48"/>
        <v>Bad</v>
      </c>
      <c r="R621" t="str">
        <f t="shared" si="49"/>
        <v>High</v>
      </c>
    </row>
    <row r="622" spans="1:18" x14ac:dyDescent="0.45">
      <c r="A622">
        <v>621</v>
      </c>
      <c r="B622">
        <v>23</v>
      </c>
      <c r="C622" t="s">
        <v>13</v>
      </c>
      <c r="D622" t="s">
        <v>20</v>
      </c>
      <c r="E622" t="s">
        <v>89</v>
      </c>
      <c r="F622">
        <v>4.4000000000000004</v>
      </c>
      <c r="G622" t="s">
        <v>16</v>
      </c>
      <c r="H622" t="s">
        <v>23</v>
      </c>
      <c r="I622">
        <v>7.4</v>
      </c>
      <c r="J622">
        <v>7</v>
      </c>
      <c r="K622" t="s">
        <v>18</v>
      </c>
      <c r="L622">
        <v>2</v>
      </c>
      <c r="M622">
        <v>5</v>
      </c>
      <c r="N622" t="str">
        <f t="shared" si="45"/>
        <v>Medium</v>
      </c>
      <c r="O622" t="str">
        <f t="shared" si="46"/>
        <v>Average</v>
      </c>
      <c r="P622" t="str">
        <f t="shared" si="47"/>
        <v>High</v>
      </c>
      <c r="Q622" t="str">
        <f t="shared" si="48"/>
        <v>Bad</v>
      </c>
      <c r="R622" t="str">
        <f t="shared" si="49"/>
        <v>Medium</v>
      </c>
    </row>
    <row r="623" spans="1:18" x14ac:dyDescent="0.45">
      <c r="A623">
        <v>622</v>
      </c>
      <c r="B623">
        <v>20</v>
      </c>
      <c r="C623" t="s">
        <v>19</v>
      </c>
      <c r="D623" t="s">
        <v>14</v>
      </c>
      <c r="E623" t="s">
        <v>41</v>
      </c>
      <c r="F623">
        <v>6.5</v>
      </c>
      <c r="G623" t="s">
        <v>32</v>
      </c>
      <c r="H623" t="s">
        <v>17</v>
      </c>
      <c r="I623">
        <v>6.2</v>
      </c>
      <c r="J623">
        <v>5</v>
      </c>
      <c r="K623" t="s">
        <v>24</v>
      </c>
      <c r="L623">
        <v>4</v>
      </c>
      <c r="M623">
        <v>8</v>
      </c>
      <c r="N623" t="str">
        <f t="shared" si="45"/>
        <v>Medium</v>
      </c>
      <c r="O623" t="str">
        <f t="shared" si="46"/>
        <v>High</v>
      </c>
      <c r="P623" t="str">
        <f t="shared" si="47"/>
        <v>Average</v>
      </c>
      <c r="Q623" t="str">
        <f t="shared" si="48"/>
        <v>Bad</v>
      </c>
      <c r="R623" t="str">
        <f t="shared" si="49"/>
        <v>High</v>
      </c>
    </row>
    <row r="624" spans="1:18" x14ac:dyDescent="0.45">
      <c r="A624">
        <v>623</v>
      </c>
      <c r="B624">
        <v>22</v>
      </c>
      <c r="C624" t="s">
        <v>13</v>
      </c>
      <c r="D624" t="s">
        <v>20</v>
      </c>
      <c r="E624" t="s">
        <v>48</v>
      </c>
      <c r="F624">
        <v>4.5999999999999996</v>
      </c>
      <c r="G624" t="s">
        <v>22</v>
      </c>
      <c r="H624" t="s">
        <v>23</v>
      </c>
      <c r="I624">
        <v>7.3</v>
      </c>
      <c r="J624">
        <v>7</v>
      </c>
      <c r="K624" t="s">
        <v>18</v>
      </c>
      <c r="L624">
        <v>2</v>
      </c>
      <c r="M624">
        <v>5</v>
      </c>
      <c r="N624" t="str">
        <f t="shared" si="45"/>
        <v>Medium</v>
      </c>
      <c r="O624" t="str">
        <f t="shared" si="46"/>
        <v>Average</v>
      </c>
      <c r="P624" t="str">
        <f t="shared" si="47"/>
        <v>High</v>
      </c>
      <c r="Q624" t="str">
        <f t="shared" si="48"/>
        <v>Bad</v>
      </c>
      <c r="R624" t="str">
        <f t="shared" si="49"/>
        <v>Medium</v>
      </c>
    </row>
    <row r="625" spans="1:18" x14ac:dyDescent="0.45">
      <c r="A625">
        <v>624</v>
      </c>
      <c r="B625">
        <v>19</v>
      </c>
      <c r="C625" t="s">
        <v>19</v>
      </c>
      <c r="D625" t="s">
        <v>14</v>
      </c>
      <c r="E625" t="s">
        <v>55</v>
      </c>
      <c r="F625">
        <v>5.8</v>
      </c>
      <c r="G625" t="s">
        <v>16</v>
      </c>
      <c r="H625" t="s">
        <v>17</v>
      </c>
      <c r="I625">
        <v>6.6</v>
      </c>
      <c r="J625">
        <v>6</v>
      </c>
      <c r="K625" t="s">
        <v>24</v>
      </c>
      <c r="L625">
        <v>3</v>
      </c>
      <c r="M625">
        <v>7</v>
      </c>
      <c r="N625" t="str">
        <f t="shared" si="45"/>
        <v>Medium</v>
      </c>
      <c r="O625" t="str">
        <f t="shared" si="46"/>
        <v>High</v>
      </c>
      <c r="P625" t="str">
        <f t="shared" si="47"/>
        <v>Average</v>
      </c>
      <c r="Q625" t="str">
        <f t="shared" si="48"/>
        <v>Bad</v>
      </c>
      <c r="R625" t="str">
        <f t="shared" si="49"/>
        <v>High</v>
      </c>
    </row>
    <row r="626" spans="1:18" x14ac:dyDescent="0.45">
      <c r="A626">
        <v>625</v>
      </c>
      <c r="B626">
        <v>24</v>
      </c>
      <c r="C626" t="s">
        <v>13</v>
      </c>
      <c r="D626" t="s">
        <v>20</v>
      </c>
      <c r="E626" t="s">
        <v>21</v>
      </c>
      <c r="F626">
        <v>7</v>
      </c>
      <c r="G626" t="s">
        <v>26</v>
      </c>
      <c r="H626" t="s">
        <v>17</v>
      </c>
      <c r="I626">
        <v>5.8</v>
      </c>
      <c r="J626">
        <v>4</v>
      </c>
      <c r="K626" t="s">
        <v>24</v>
      </c>
      <c r="L626">
        <v>5</v>
      </c>
      <c r="M626">
        <v>9</v>
      </c>
      <c r="N626" t="str">
        <f t="shared" si="45"/>
        <v>High</v>
      </c>
      <c r="O626" t="str">
        <f t="shared" si="46"/>
        <v>Average</v>
      </c>
      <c r="P626" t="str">
        <f t="shared" si="47"/>
        <v>Average</v>
      </c>
      <c r="Q626" t="str">
        <f t="shared" si="48"/>
        <v>Worst</v>
      </c>
      <c r="R626" t="str">
        <f t="shared" si="49"/>
        <v>High</v>
      </c>
    </row>
    <row r="627" spans="1:18" x14ac:dyDescent="0.45">
      <c r="A627">
        <v>626</v>
      </c>
      <c r="B627">
        <v>21</v>
      </c>
      <c r="C627" t="s">
        <v>19</v>
      </c>
      <c r="D627" t="s">
        <v>14</v>
      </c>
      <c r="E627" t="s">
        <v>51</v>
      </c>
      <c r="F627">
        <v>4.5</v>
      </c>
      <c r="G627" t="s">
        <v>32</v>
      </c>
      <c r="H627" t="s">
        <v>23</v>
      </c>
      <c r="I627">
        <v>7.3</v>
      </c>
      <c r="J627">
        <v>7</v>
      </c>
      <c r="K627" t="s">
        <v>18</v>
      </c>
      <c r="L627">
        <v>2</v>
      </c>
      <c r="M627">
        <v>5</v>
      </c>
      <c r="N627" t="str">
        <f t="shared" si="45"/>
        <v>Medium</v>
      </c>
      <c r="O627" t="str">
        <f t="shared" si="46"/>
        <v>High</v>
      </c>
      <c r="P627" t="str">
        <f t="shared" si="47"/>
        <v>High</v>
      </c>
      <c r="Q627" t="str">
        <f t="shared" si="48"/>
        <v>Bad</v>
      </c>
      <c r="R627" t="str">
        <f t="shared" si="49"/>
        <v>Medium</v>
      </c>
    </row>
    <row r="628" spans="1:18" x14ac:dyDescent="0.45">
      <c r="A628">
        <v>627</v>
      </c>
      <c r="B628">
        <v>23</v>
      </c>
      <c r="C628" t="s">
        <v>13</v>
      </c>
      <c r="D628" t="s">
        <v>20</v>
      </c>
      <c r="E628" t="s">
        <v>65</v>
      </c>
      <c r="F628">
        <v>6.7</v>
      </c>
      <c r="G628" t="s">
        <v>16</v>
      </c>
      <c r="H628" t="s">
        <v>17</v>
      </c>
      <c r="I628">
        <v>6.1</v>
      </c>
      <c r="J628">
        <v>5</v>
      </c>
      <c r="K628" t="s">
        <v>24</v>
      </c>
      <c r="L628">
        <v>4</v>
      </c>
      <c r="M628">
        <v>8</v>
      </c>
      <c r="N628" t="str">
        <f t="shared" si="45"/>
        <v>High</v>
      </c>
      <c r="O628" t="str">
        <f t="shared" si="46"/>
        <v>Average</v>
      </c>
      <c r="P628" t="str">
        <f t="shared" si="47"/>
        <v>Average</v>
      </c>
      <c r="Q628" t="str">
        <f t="shared" si="48"/>
        <v>Bad</v>
      </c>
      <c r="R628" t="str">
        <f t="shared" si="49"/>
        <v>High</v>
      </c>
    </row>
    <row r="629" spans="1:18" x14ac:dyDescent="0.45">
      <c r="A629">
        <v>628</v>
      </c>
      <c r="B629">
        <v>20</v>
      </c>
      <c r="C629" t="s">
        <v>19</v>
      </c>
      <c r="D629" t="s">
        <v>14</v>
      </c>
      <c r="E629" t="s">
        <v>25</v>
      </c>
      <c r="F629">
        <v>5.5</v>
      </c>
      <c r="G629" t="s">
        <v>22</v>
      </c>
      <c r="H629" t="s">
        <v>17</v>
      </c>
      <c r="I629">
        <v>6.8</v>
      </c>
      <c r="J629">
        <v>6</v>
      </c>
      <c r="K629" t="s">
        <v>18</v>
      </c>
      <c r="L629">
        <v>3</v>
      </c>
      <c r="M629">
        <v>7</v>
      </c>
      <c r="N629" t="str">
        <f t="shared" si="45"/>
        <v>Medium</v>
      </c>
      <c r="O629" t="str">
        <f t="shared" si="46"/>
        <v>Average</v>
      </c>
      <c r="P629" t="str">
        <f t="shared" si="47"/>
        <v>Average</v>
      </c>
      <c r="Q629" t="str">
        <f t="shared" si="48"/>
        <v>Bad</v>
      </c>
      <c r="R629" t="str">
        <f t="shared" si="49"/>
        <v>High</v>
      </c>
    </row>
    <row r="630" spans="1:18" x14ac:dyDescent="0.45">
      <c r="A630">
        <v>629</v>
      </c>
      <c r="B630">
        <v>22</v>
      </c>
      <c r="C630" t="s">
        <v>13</v>
      </c>
      <c r="D630" t="s">
        <v>20</v>
      </c>
      <c r="E630" t="s">
        <v>43</v>
      </c>
      <c r="F630">
        <v>6.4</v>
      </c>
      <c r="G630" t="s">
        <v>32</v>
      </c>
      <c r="H630" t="s">
        <v>17</v>
      </c>
      <c r="I630">
        <v>6.2</v>
      </c>
      <c r="J630">
        <v>5</v>
      </c>
      <c r="K630" t="s">
        <v>24</v>
      </c>
      <c r="L630">
        <v>4</v>
      </c>
      <c r="M630">
        <v>8</v>
      </c>
      <c r="N630" t="str">
        <f t="shared" si="45"/>
        <v>Medium</v>
      </c>
      <c r="O630" t="str">
        <f t="shared" si="46"/>
        <v>High</v>
      </c>
      <c r="P630" t="str">
        <f t="shared" si="47"/>
        <v>Average</v>
      </c>
      <c r="Q630" t="str">
        <f t="shared" si="48"/>
        <v>Bad</v>
      </c>
      <c r="R630" t="str">
        <f t="shared" si="49"/>
        <v>High</v>
      </c>
    </row>
    <row r="631" spans="1:18" x14ac:dyDescent="0.45">
      <c r="A631">
        <v>630</v>
      </c>
      <c r="B631">
        <v>19</v>
      </c>
      <c r="C631" t="s">
        <v>19</v>
      </c>
      <c r="D631" t="s">
        <v>14</v>
      </c>
      <c r="E631" t="s">
        <v>40</v>
      </c>
      <c r="F631">
        <v>4.7</v>
      </c>
      <c r="G631" t="s">
        <v>16</v>
      </c>
      <c r="H631" t="s">
        <v>23</v>
      </c>
      <c r="I631">
        <v>7.2</v>
      </c>
      <c r="J631">
        <v>7</v>
      </c>
      <c r="K631" t="s">
        <v>18</v>
      </c>
      <c r="L631">
        <v>2</v>
      </c>
      <c r="M631">
        <v>5</v>
      </c>
      <c r="N631" t="str">
        <f t="shared" si="45"/>
        <v>Medium</v>
      </c>
      <c r="O631" t="str">
        <f t="shared" si="46"/>
        <v>Average</v>
      </c>
      <c r="P631" t="str">
        <f t="shared" si="47"/>
        <v>High</v>
      </c>
      <c r="Q631" t="str">
        <f t="shared" si="48"/>
        <v>Bad</v>
      </c>
      <c r="R631" t="str">
        <f t="shared" si="49"/>
        <v>Medium</v>
      </c>
    </row>
    <row r="632" spans="1:18" x14ac:dyDescent="0.45">
      <c r="A632">
        <v>631</v>
      </c>
      <c r="B632">
        <v>24</v>
      </c>
      <c r="C632" t="s">
        <v>13</v>
      </c>
      <c r="D632" t="s">
        <v>20</v>
      </c>
      <c r="E632" t="s">
        <v>31</v>
      </c>
      <c r="F632">
        <v>5.6</v>
      </c>
      <c r="G632" t="s">
        <v>26</v>
      </c>
      <c r="H632" t="s">
        <v>17</v>
      </c>
      <c r="I632">
        <v>6.7</v>
      </c>
      <c r="J632">
        <v>6</v>
      </c>
      <c r="K632" t="s">
        <v>24</v>
      </c>
      <c r="L632">
        <v>3</v>
      </c>
      <c r="M632">
        <v>7</v>
      </c>
      <c r="N632" t="str">
        <f t="shared" si="45"/>
        <v>Medium</v>
      </c>
      <c r="O632" t="str">
        <f t="shared" si="46"/>
        <v>Average</v>
      </c>
      <c r="P632" t="str">
        <f t="shared" si="47"/>
        <v>Average</v>
      </c>
      <c r="Q632" t="str">
        <f t="shared" si="48"/>
        <v>Bad</v>
      </c>
      <c r="R632" t="str">
        <f t="shared" si="49"/>
        <v>High</v>
      </c>
    </row>
    <row r="633" spans="1:18" x14ac:dyDescent="0.45">
      <c r="A633">
        <v>632</v>
      </c>
      <c r="B633">
        <v>21</v>
      </c>
      <c r="C633" t="s">
        <v>19</v>
      </c>
      <c r="D633" t="s">
        <v>14</v>
      </c>
      <c r="E633" t="s">
        <v>29</v>
      </c>
      <c r="F633">
        <v>6.2</v>
      </c>
      <c r="G633" t="s">
        <v>32</v>
      </c>
      <c r="H633" t="s">
        <v>17</v>
      </c>
      <c r="I633">
        <v>6.3</v>
      </c>
      <c r="J633">
        <v>5</v>
      </c>
      <c r="K633" t="s">
        <v>24</v>
      </c>
      <c r="L633">
        <v>4</v>
      </c>
      <c r="M633">
        <v>8</v>
      </c>
      <c r="N633" t="str">
        <f t="shared" si="45"/>
        <v>Medium</v>
      </c>
      <c r="O633" t="str">
        <f t="shared" si="46"/>
        <v>Average</v>
      </c>
      <c r="P633" t="str">
        <f t="shared" si="47"/>
        <v>Average</v>
      </c>
      <c r="Q633" t="str">
        <f t="shared" si="48"/>
        <v>Bad</v>
      </c>
      <c r="R633" t="str">
        <f t="shared" si="49"/>
        <v>High</v>
      </c>
    </row>
    <row r="634" spans="1:18" x14ac:dyDescent="0.45">
      <c r="A634">
        <v>633</v>
      </c>
      <c r="B634">
        <v>23</v>
      </c>
      <c r="C634" t="s">
        <v>13</v>
      </c>
      <c r="D634" t="s">
        <v>20</v>
      </c>
      <c r="E634" t="s">
        <v>42</v>
      </c>
      <c r="F634">
        <v>4.8</v>
      </c>
      <c r="G634" t="s">
        <v>22</v>
      </c>
      <c r="H634" t="s">
        <v>23</v>
      </c>
      <c r="I634">
        <v>7.1</v>
      </c>
      <c r="J634">
        <v>7</v>
      </c>
      <c r="K634" t="s">
        <v>18</v>
      </c>
      <c r="L634">
        <v>2</v>
      </c>
      <c r="M634">
        <v>5</v>
      </c>
      <c r="N634" t="str">
        <f t="shared" si="45"/>
        <v>Medium</v>
      </c>
      <c r="O634" t="str">
        <f t="shared" si="46"/>
        <v>High</v>
      </c>
      <c r="P634" t="str">
        <f t="shared" si="47"/>
        <v>High</v>
      </c>
      <c r="Q634" t="str">
        <f t="shared" si="48"/>
        <v>Bad</v>
      </c>
      <c r="R634" t="str">
        <f t="shared" si="49"/>
        <v>Medium</v>
      </c>
    </row>
    <row r="635" spans="1:18" x14ac:dyDescent="0.45">
      <c r="A635">
        <v>634</v>
      </c>
      <c r="B635">
        <v>20</v>
      </c>
      <c r="C635" t="s">
        <v>19</v>
      </c>
      <c r="D635" t="s">
        <v>14</v>
      </c>
      <c r="E635" t="s">
        <v>44</v>
      </c>
      <c r="F635">
        <v>6.9</v>
      </c>
      <c r="G635" t="s">
        <v>16</v>
      </c>
      <c r="H635" t="s">
        <v>17</v>
      </c>
      <c r="I635">
        <v>5.9</v>
      </c>
      <c r="J635">
        <v>4</v>
      </c>
      <c r="K635" t="s">
        <v>24</v>
      </c>
      <c r="L635">
        <v>5</v>
      </c>
      <c r="M635">
        <v>9</v>
      </c>
      <c r="N635" t="str">
        <f t="shared" si="45"/>
        <v>High</v>
      </c>
      <c r="O635" t="str">
        <f t="shared" si="46"/>
        <v>Average</v>
      </c>
      <c r="P635" t="str">
        <f t="shared" si="47"/>
        <v>Average</v>
      </c>
      <c r="Q635" t="str">
        <f t="shared" si="48"/>
        <v>Worst</v>
      </c>
      <c r="R635" t="str">
        <f t="shared" si="49"/>
        <v>High</v>
      </c>
    </row>
    <row r="636" spans="1:18" x14ac:dyDescent="0.45">
      <c r="A636">
        <v>635</v>
      </c>
      <c r="B636">
        <v>22</v>
      </c>
      <c r="C636" t="s">
        <v>13</v>
      </c>
      <c r="D636" t="s">
        <v>20</v>
      </c>
      <c r="E636" t="s">
        <v>45</v>
      </c>
      <c r="F636">
        <v>5.7</v>
      </c>
      <c r="G636" t="s">
        <v>144</v>
      </c>
      <c r="H636" t="s">
        <v>17</v>
      </c>
      <c r="I636">
        <v>6.7</v>
      </c>
      <c r="J636">
        <v>6</v>
      </c>
      <c r="K636" t="s">
        <v>18</v>
      </c>
      <c r="L636">
        <v>3</v>
      </c>
      <c r="M636">
        <v>7</v>
      </c>
      <c r="N636" t="str">
        <f t="shared" si="45"/>
        <v>Medium</v>
      </c>
      <c r="O636" t="str">
        <f t="shared" si="46"/>
        <v>Average</v>
      </c>
      <c r="P636" t="str">
        <f t="shared" si="47"/>
        <v>Average</v>
      </c>
      <c r="Q636" t="str">
        <f t="shared" si="48"/>
        <v>Bad</v>
      </c>
      <c r="R636" t="str">
        <f t="shared" si="49"/>
        <v>High</v>
      </c>
    </row>
    <row r="637" spans="1:18" x14ac:dyDescent="0.45">
      <c r="A637">
        <v>636</v>
      </c>
      <c r="B637">
        <v>19</v>
      </c>
      <c r="C637" t="s">
        <v>19</v>
      </c>
      <c r="D637" t="s">
        <v>14</v>
      </c>
      <c r="E637" t="s">
        <v>38</v>
      </c>
      <c r="F637">
        <v>4.4000000000000004</v>
      </c>
      <c r="G637" t="s">
        <v>22</v>
      </c>
      <c r="H637" t="s">
        <v>23</v>
      </c>
      <c r="I637">
        <v>7.4</v>
      </c>
      <c r="J637">
        <v>8</v>
      </c>
      <c r="K637" t="s">
        <v>24</v>
      </c>
      <c r="L637">
        <v>2</v>
      </c>
      <c r="M637">
        <v>4</v>
      </c>
      <c r="N637" t="str">
        <f t="shared" si="45"/>
        <v>Medium</v>
      </c>
      <c r="O637" t="str">
        <f t="shared" si="46"/>
        <v>High</v>
      </c>
      <c r="P637" t="str">
        <f t="shared" si="47"/>
        <v>High</v>
      </c>
      <c r="Q637" t="str">
        <f t="shared" si="48"/>
        <v>Good</v>
      </c>
      <c r="R637" t="str">
        <f t="shared" si="49"/>
        <v>Medium</v>
      </c>
    </row>
    <row r="638" spans="1:18" x14ac:dyDescent="0.45">
      <c r="A638">
        <v>637</v>
      </c>
      <c r="B638">
        <v>24</v>
      </c>
      <c r="C638" t="s">
        <v>13</v>
      </c>
      <c r="D638" t="s">
        <v>20</v>
      </c>
      <c r="E638" t="s">
        <v>90</v>
      </c>
      <c r="F638">
        <v>6.1</v>
      </c>
      <c r="G638" t="s">
        <v>26</v>
      </c>
      <c r="H638" t="s">
        <v>17</v>
      </c>
      <c r="I638">
        <v>6.4</v>
      </c>
      <c r="J638">
        <v>5</v>
      </c>
      <c r="K638" t="s">
        <v>24</v>
      </c>
      <c r="L638">
        <v>4</v>
      </c>
      <c r="M638">
        <v>8</v>
      </c>
      <c r="N638" t="str">
        <f t="shared" si="45"/>
        <v>Medium</v>
      </c>
      <c r="O638" t="str">
        <f t="shared" si="46"/>
        <v>Average</v>
      </c>
      <c r="P638" t="str">
        <f t="shared" si="47"/>
        <v>Average</v>
      </c>
      <c r="Q638" t="str">
        <f t="shared" si="48"/>
        <v>Bad</v>
      </c>
      <c r="R638" t="str">
        <f t="shared" si="49"/>
        <v>High</v>
      </c>
    </row>
    <row r="639" spans="1:18" x14ac:dyDescent="0.45">
      <c r="A639">
        <v>638</v>
      </c>
      <c r="B639">
        <v>21</v>
      </c>
      <c r="C639" t="s">
        <v>19</v>
      </c>
      <c r="D639" t="s">
        <v>14</v>
      </c>
      <c r="E639" t="s">
        <v>89</v>
      </c>
      <c r="F639">
        <v>4.3</v>
      </c>
      <c r="G639" t="s">
        <v>16</v>
      </c>
      <c r="H639" t="s">
        <v>23</v>
      </c>
      <c r="I639">
        <v>7.5</v>
      </c>
      <c r="J639">
        <v>7</v>
      </c>
      <c r="K639" t="s">
        <v>18</v>
      </c>
      <c r="L639">
        <v>2</v>
      </c>
      <c r="M639">
        <v>5</v>
      </c>
      <c r="N639" t="str">
        <f t="shared" si="45"/>
        <v>Medium</v>
      </c>
      <c r="O639" t="str">
        <f t="shared" si="46"/>
        <v>Average</v>
      </c>
      <c r="P639" t="str">
        <f t="shared" si="47"/>
        <v>High</v>
      </c>
      <c r="Q639" t="str">
        <f t="shared" si="48"/>
        <v>Bad</v>
      </c>
      <c r="R639" t="str">
        <f t="shared" si="49"/>
        <v>Medium</v>
      </c>
    </row>
    <row r="640" spans="1:18" x14ac:dyDescent="0.45">
      <c r="A640">
        <v>639</v>
      </c>
      <c r="B640">
        <v>23</v>
      </c>
      <c r="C640" t="s">
        <v>13</v>
      </c>
      <c r="D640" t="s">
        <v>20</v>
      </c>
      <c r="E640" t="s">
        <v>41</v>
      </c>
      <c r="F640">
        <v>6.4</v>
      </c>
      <c r="G640" t="s">
        <v>32</v>
      </c>
      <c r="H640" t="s">
        <v>17</v>
      </c>
      <c r="I640">
        <v>6.2</v>
      </c>
      <c r="J640">
        <v>5</v>
      </c>
      <c r="K640" t="s">
        <v>24</v>
      </c>
      <c r="L640">
        <v>4</v>
      </c>
      <c r="M640">
        <v>8</v>
      </c>
      <c r="N640" t="str">
        <f t="shared" si="45"/>
        <v>Medium</v>
      </c>
      <c r="O640" t="str">
        <f t="shared" si="46"/>
        <v>High</v>
      </c>
      <c r="P640" t="str">
        <f t="shared" si="47"/>
        <v>Average</v>
      </c>
      <c r="Q640" t="str">
        <f t="shared" si="48"/>
        <v>Bad</v>
      </c>
      <c r="R640" t="str">
        <f t="shared" si="49"/>
        <v>High</v>
      </c>
    </row>
    <row r="641" spans="1:18" x14ac:dyDescent="0.45">
      <c r="A641">
        <v>640</v>
      </c>
      <c r="B641">
        <v>20</v>
      </c>
      <c r="C641" t="s">
        <v>19</v>
      </c>
      <c r="D641" t="s">
        <v>14</v>
      </c>
      <c r="E641" t="s">
        <v>48</v>
      </c>
      <c r="F641">
        <v>4.5</v>
      </c>
      <c r="G641" t="s">
        <v>22</v>
      </c>
      <c r="H641" t="s">
        <v>23</v>
      </c>
      <c r="I641">
        <v>7.3</v>
      </c>
      <c r="J641">
        <v>7</v>
      </c>
      <c r="K641" t="s">
        <v>18</v>
      </c>
      <c r="L641">
        <v>2</v>
      </c>
      <c r="M641">
        <v>5</v>
      </c>
      <c r="N641" t="str">
        <f t="shared" si="45"/>
        <v>Medium</v>
      </c>
      <c r="O641" t="str">
        <f t="shared" si="46"/>
        <v>Average</v>
      </c>
      <c r="P641" t="str">
        <f t="shared" si="47"/>
        <v>High</v>
      </c>
      <c r="Q641" t="str">
        <f t="shared" si="48"/>
        <v>Bad</v>
      </c>
      <c r="R641" t="str">
        <f t="shared" si="49"/>
        <v>Medium</v>
      </c>
    </row>
    <row r="642" spans="1:18" x14ac:dyDescent="0.45">
      <c r="A642">
        <v>641</v>
      </c>
      <c r="B642">
        <v>22</v>
      </c>
      <c r="C642" t="s">
        <v>13</v>
      </c>
      <c r="D642" t="s">
        <v>20</v>
      </c>
      <c r="E642" t="s">
        <v>55</v>
      </c>
      <c r="F642">
        <v>5.9</v>
      </c>
      <c r="G642" t="s">
        <v>16</v>
      </c>
      <c r="H642" t="s">
        <v>17</v>
      </c>
      <c r="I642">
        <v>6.5</v>
      </c>
      <c r="J642">
        <v>6</v>
      </c>
      <c r="K642" t="s">
        <v>24</v>
      </c>
      <c r="L642">
        <v>3</v>
      </c>
      <c r="M642">
        <v>7</v>
      </c>
      <c r="N642" t="str">
        <f t="shared" si="45"/>
        <v>Medium</v>
      </c>
      <c r="O642" t="str">
        <f t="shared" si="46"/>
        <v>High</v>
      </c>
      <c r="P642" t="str">
        <f t="shared" si="47"/>
        <v>Average</v>
      </c>
      <c r="Q642" t="str">
        <f t="shared" si="48"/>
        <v>Bad</v>
      </c>
      <c r="R642" t="str">
        <f t="shared" si="49"/>
        <v>High</v>
      </c>
    </row>
    <row r="643" spans="1:18" x14ac:dyDescent="0.45">
      <c r="A643">
        <v>642</v>
      </c>
      <c r="B643">
        <v>19</v>
      </c>
      <c r="C643" t="s">
        <v>19</v>
      </c>
      <c r="D643" t="s">
        <v>14</v>
      </c>
      <c r="E643" t="s">
        <v>21</v>
      </c>
      <c r="F643">
        <v>7.2</v>
      </c>
      <c r="G643" t="s">
        <v>26</v>
      </c>
      <c r="H643" t="s">
        <v>17</v>
      </c>
      <c r="I643">
        <v>5.7</v>
      </c>
      <c r="J643">
        <v>4</v>
      </c>
      <c r="K643" t="s">
        <v>24</v>
      </c>
      <c r="L643">
        <v>5</v>
      </c>
      <c r="M643">
        <v>9</v>
      </c>
      <c r="N643" t="str">
        <f t="shared" ref="N643:N706" si="50">IF(AND(F643&gt;=1.5,F643&lt;=3.5),"Low",IF(AND(F643&gt;3.5,F643&lt;=6.5),"Medium","High"))</f>
        <v>High</v>
      </c>
      <c r="O643" t="str">
        <f t="shared" ref="O643:O706" si="51">IF(AND(I657&gt;=3.8,I657&lt;=5),"Less",IF(AND(I657&gt;5,I657&lt;=7),"Average","High"))</f>
        <v>Average</v>
      </c>
      <c r="P643" t="str">
        <f t="shared" ref="P643:P706" si="52">IF(AND(I643&gt;=3.8,I643&lt;=5),"Less",IF(AND(I643&gt;5,I643&lt;=7),"Average","High"))</f>
        <v>Average</v>
      </c>
      <c r="Q643" t="str">
        <f t="shared" si="48"/>
        <v>Worst</v>
      </c>
      <c r="R643" t="str">
        <f t="shared" si="49"/>
        <v>High</v>
      </c>
    </row>
    <row r="644" spans="1:18" x14ac:dyDescent="0.45">
      <c r="A644">
        <v>643</v>
      </c>
      <c r="B644">
        <v>24</v>
      </c>
      <c r="C644" t="s">
        <v>13</v>
      </c>
      <c r="D644" t="s">
        <v>20</v>
      </c>
      <c r="E644" t="s">
        <v>51</v>
      </c>
      <c r="F644">
        <v>4.5999999999999996</v>
      </c>
      <c r="G644" t="s">
        <v>32</v>
      </c>
      <c r="H644" t="s">
        <v>23</v>
      </c>
      <c r="I644">
        <v>7.2</v>
      </c>
      <c r="J644">
        <v>7</v>
      </c>
      <c r="K644" t="s">
        <v>18</v>
      </c>
      <c r="L644">
        <v>2</v>
      </c>
      <c r="M644">
        <v>5</v>
      </c>
      <c r="N644" t="str">
        <f t="shared" si="50"/>
        <v>Medium</v>
      </c>
      <c r="O644" t="str">
        <f t="shared" si="51"/>
        <v>High</v>
      </c>
      <c r="P644" t="str">
        <f t="shared" si="52"/>
        <v>High</v>
      </c>
      <c r="Q644" t="str">
        <f t="shared" si="48"/>
        <v>Bad</v>
      </c>
      <c r="R644" t="str">
        <f t="shared" si="49"/>
        <v>Medium</v>
      </c>
    </row>
    <row r="645" spans="1:18" x14ac:dyDescent="0.45">
      <c r="A645">
        <v>644</v>
      </c>
      <c r="B645">
        <v>21</v>
      </c>
      <c r="C645" t="s">
        <v>19</v>
      </c>
      <c r="D645" t="s">
        <v>14</v>
      </c>
      <c r="E645" t="s">
        <v>65</v>
      </c>
      <c r="F645">
        <v>6.8</v>
      </c>
      <c r="G645" t="s">
        <v>16</v>
      </c>
      <c r="H645" t="s">
        <v>17</v>
      </c>
      <c r="I645">
        <v>6</v>
      </c>
      <c r="J645">
        <v>5</v>
      </c>
      <c r="K645" t="s">
        <v>24</v>
      </c>
      <c r="L645">
        <v>4</v>
      </c>
      <c r="M645">
        <v>8</v>
      </c>
      <c r="N645" t="str">
        <f t="shared" si="50"/>
        <v>High</v>
      </c>
      <c r="O645" t="str">
        <f t="shared" si="51"/>
        <v>Average</v>
      </c>
      <c r="P645" t="str">
        <f t="shared" si="52"/>
        <v>Average</v>
      </c>
      <c r="Q645" t="str">
        <f t="shared" si="48"/>
        <v>Bad</v>
      </c>
      <c r="R645" t="str">
        <f t="shared" si="49"/>
        <v>High</v>
      </c>
    </row>
    <row r="646" spans="1:18" x14ac:dyDescent="0.45">
      <c r="A646">
        <v>645</v>
      </c>
      <c r="B646">
        <v>23</v>
      </c>
      <c r="C646" t="s">
        <v>13</v>
      </c>
      <c r="D646" t="s">
        <v>20</v>
      </c>
      <c r="E646" t="s">
        <v>25</v>
      </c>
      <c r="F646">
        <v>5.3</v>
      </c>
      <c r="G646" t="s">
        <v>22</v>
      </c>
      <c r="H646" t="s">
        <v>17</v>
      </c>
      <c r="I646">
        <v>6.8</v>
      </c>
      <c r="J646">
        <v>6</v>
      </c>
      <c r="K646" t="s">
        <v>18</v>
      </c>
      <c r="L646">
        <v>3</v>
      </c>
      <c r="M646">
        <v>7</v>
      </c>
      <c r="N646" t="str">
        <f t="shared" si="50"/>
        <v>Medium</v>
      </c>
      <c r="O646" t="str">
        <f t="shared" si="51"/>
        <v>Average</v>
      </c>
      <c r="P646" t="str">
        <f t="shared" si="52"/>
        <v>Average</v>
      </c>
      <c r="Q646" t="str">
        <f t="shared" ref="Q646:Q706" si="53">IF(AND(J646&gt;=0,J646&lt;=4),"Worst",IF(AND(J646&gt;4,J646&lt;=7),"Bad","Good"))</f>
        <v>Bad</v>
      </c>
      <c r="R646" t="str">
        <f t="shared" ref="R646:R706" si="54">IF(AND(M646&gt;0,M646&lt;=3),"Less",IF(AND(M646&gt;3,M646&lt;=6),"Medium","High"))</f>
        <v>High</v>
      </c>
    </row>
    <row r="647" spans="1:18" x14ac:dyDescent="0.45">
      <c r="A647">
        <v>646</v>
      </c>
      <c r="B647">
        <v>22</v>
      </c>
      <c r="C647" t="s">
        <v>19</v>
      </c>
      <c r="D647" t="s">
        <v>20</v>
      </c>
      <c r="E647" t="s">
        <v>43</v>
      </c>
      <c r="F647">
        <v>6.3</v>
      </c>
      <c r="G647" t="s">
        <v>32</v>
      </c>
      <c r="H647" t="s">
        <v>17</v>
      </c>
      <c r="I647">
        <v>6.2</v>
      </c>
      <c r="J647">
        <v>5</v>
      </c>
      <c r="K647" t="s">
        <v>24</v>
      </c>
      <c r="L647">
        <v>4</v>
      </c>
      <c r="M647">
        <v>8</v>
      </c>
      <c r="N647" t="str">
        <f t="shared" si="50"/>
        <v>Medium</v>
      </c>
      <c r="O647" t="str">
        <f t="shared" si="51"/>
        <v>High</v>
      </c>
      <c r="P647" t="str">
        <f t="shared" si="52"/>
        <v>Average</v>
      </c>
      <c r="Q647" t="str">
        <f t="shared" si="53"/>
        <v>Bad</v>
      </c>
      <c r="R647" t="str">
        <f t="shared" si="54"/>
        <v>High</v>
      </c>
    </row>
    <row r="648" spans="1:18" x14ac:dyDescent="0.45">
      <c r="A648">
        <v>647</v>
      </c>
      <c r="B648">
        <v>20</v>
      </c>
      <c r="C648" t="s">
        <v>13</v>
      </c>
      <c r="D648" t="s">
        <v>14</v>
      </c>
      <c r="E648" t="s">
        <v>40</v>
      </c>
      <c r="F648">
        <v>4.8</v>
      </c>
      <c r="G648" t="s">
        <v>16</v>
      </c>
      <c r="H648" t="s">
        <v>23</v>
      </c>
      <c r="I648">
        <v>7.1</v>
      </c>
      <c r="J648">
        <v>7</v>
      </c>
      <c r="K648" t="s">
        <v>18</v>
      </c>
      <c r="L648">
        <v>2</v>
      </c>
      <c r="M648">
        <v>5</v>
      </c>
      <c r="N648" t="str">
        <f t="shared" si="50"/>
        <v>Medium</v>
      </c>
      <c r="O648" t="str">
        <f t="shared" si="51"/>
        <v>Average</v>
      </c>
      <c r="P648" t="str">
        <f t="shared" si="52"/>
        <v>High</v>
      </c>
      <c r="Q648" t="str">
        <f t="shared" si="53"/>
        <v>Bad</v>
      </c>
      <c r="R648" t="str">
        <f t="shared" si="54"/>
        <v>Medium</v>
      </c>
    </row>
    <row r="649" spans="1:18" x14ac:dyDescent="0.45">
      <c r="A649">
        <v>648</v>
      </c>
      <c r="B649">
        <v>23</v>
      </c>
      <c r="C649" t="s">
        <v>19</v>
      </c>
      <c r="D649" t="s">
        <v>20</v>
      </c>
      <c r="E649" t="s">
        <v>31</v>
      </c>
      <c r="F649">
        <v>5.7</v>
      </c>
      <c r="G649" t="s">
        <v>26</v>
      </c>
      <c r="H649" t="s">
        <v>17</v>
      </c>
      <c r="I649">
        <v>6.6</v>
      </c>
      <c r="J649">
        <v>6</v>
      </c>
      <c r="K649" t="s">
        <v>24</v>
      </c>
      <c r="L649">
        <v>3</v>
      </c>
      <c r="M649">
        <v>7</v>
      </c>
      <c r="N649" t="str">
        <f t="shared" si="50"/>
        <v>Medium</v>
      </c>
      <c r="O649" t="str">
        <f t="shared" si="51"/>
        <v>Average</v>
      </c>
      <c r="P649" t="str">
        <f t="shared" si="52"/>
        <v>Average</v>
      </c>
      <c r="Q649" t="str">
        <f t="shared" si="53"/>
        <v>Bad</v>
      </c>
      <c r="R649" t="str">
        <f t="shared" si="54"/>
        <v>High</v>
      </c>
    </row>
    <row r="650" spans="1:18" x14ac:dyDescent="0.45">
      <c r="A650">
        <v>649</v>
      </c>
      <c r="B650">
        <v>21</v>
      </c>
      <c r="C650" t="s">
        <v>13</v>
      </c>
      <c r="D650" t="s">
        <v>14</v>
      </c>
      <c r="E650" t="s">
        <v>29</v>
      </c>
      <c r="F650">
        <v>6.2</v>
      </c>
      <c r="G650" t="s">
        <v>22</v>
      </c>
      <c r="H650" t="s">
        <v>17</v>
      </c>
      <c r="I650">
        <v>6.3</v>
      </c>
      <c r="J650">
        <v>5</v>
      </c>
      <c r="K650" t="s">
        <v>24</v>
      </c>
      <c r="L650">
        <v>4</v>
      </c>
      <c r="M650">
        <v>8</v>
      </c>
      <c r="N650" t="str">
        <f t="shared" si="50"/>
        <v>Medium</v>
      </c>
      <c r="O650" t="str">
        <f t="shared" si="51"/>
        <v>Average</v>
      </c>
      <c r="P650" t="str">
        <f t="shared" si="52"/>
        <v>Average</v>
      </c>
      <c r="Q650" t="str">
        <f t="shared" si="53"/>
        <v>Bad</v>
      </c>
      <c r="R650" t="str">
        <f t="shared" si="54"/>
        <v>High</v>
      </c>
    </row>
    <row r="651" spans="1:18" x14ac:dyDescent="0.45">
      <c r="A651">
        <v>650</v>
      </c>
      <c r="B651">
        <v>24</v>
      </c>
      <c r="C651" t="s">
        <v>19</v>
      </c>
      <c r="D651" t="s">
        <v>20</v>
      </c>
      <c r="E651" t="s">
        <v>42</v>
      </c>
      <c r="F651">
        <v>4.7</v>
      </c>
      <c r="G651" t="s">
        <v>32</v>
      </c>
      <c r="H651" t="s">
        <v>23</v>
      </c>
      <c r="I651">
        <v>7.2</v>
      </c>
      <c r="J651">
        <v>7</v>
      </c>
      <c r="K651" t="s">
        <v>18</v>
      </c>
      <c r="L651">
        <v>2</v>
      </c>
      <c r="M651">
        <v>5</v>
      </c>
      <c r="N651" t="str">
        <f t="shared" si="50"/>
        <v>Medium</v>
      </c>
      <c r="O651" t="str">
        <f t="shared" si="51"/>
        <v>High</v>
      </c>
      <c r="P651" t="str">
        <f t="shared" si="52"/>
        <v>High</v>
      </c>
      <c r="Q651" t="str">
        <f t="shared" si="53"/>
        <v>Bad</v>
      </c>
      <c r="R651" t="str">
        <f t="shared" si="54"/>
        <v>Medium</v>
      </c>
    </row>
    <row r="652" spans="1:18" x14ac:dyDescent="0.45">
      <c r="A652">
        <v>651</v>
      </c>
      <c r="B652">
        <v>19</v>
      </c>
      <c r="C652" t="s">
        <v>13</v>
      </c>
      <c r="D652" t="s">
        <v>14</v>
      </c>
      <c r="E652" t="s">
        <v>44</v>
      </c>
      <c r="F652">
        <v>6.8</v>
      </c>
      <c r="G652" t="s">
        <v>16</v>
      </c>
      <c r="H652" t="s">
        <v>17</v>
      </c>
      <c r="I652">
        <v>5.9</v>
      </c>
      <c r="J652">
        <v>4</v>
      </c>
      <c r="K652" t="s">
        <v>24</v>
      </c>
      <c r="L652">
        <v>5</v>
      </c>
      <c r="M652">
        <v>9</v>
      </c>
      <c r="N652" t="str">
        <f t="shared" si="50"/>
        <v>High</v>
      </c>
      <c r="O652" t="str">
        <f t="shared" si="51"/>
        <v>Average</v>
      </c>
      <c r="P652" t="str">
        <f t="shared" si="52"/>
        <v>Average</v>
      </c>
      <c r="Q652" t="str">
        <f t="shared" si="53"/>
        <v>Worst</v>
      </c>
      <c r="R652" t="str">
        <f t="shared" si="54"/>
        <v>High</v>
      </c>
    </row>
    <row r="653" spans="1:18" x14ac:dyDescent="0.45">
      <c r="A653">
        <v>652</v>
      </c>
      <c r="B653">
        <v>22</v>
      </c>
      <c r="C653" t="s">
        <v>19</v>
      </c>
      <c r="D653" t="s">
        <v>20</v>
      </c>
      <c r="E653" t="s">
        <v>45</v>
      </c>
      <c r="F653">
        <v>5.6</v>
      </c>
      <c r="G653" t="s">
        <v>144</v>
      </c>
      <c r="H653" t="s">
        <v>17</v>
      </c>
      <c r="I653">
        <v>6.7</v>
      </c>
      <c r="J653">
        <v>6</v>
      </c>
      <c r="K653" t="s">
        <v>18</v>
      </c>
      <c r="L653">
        <v>3</v>
      </c>
      <c r="M653">
        <v>7</v>
      </c>
      <c r="N653" t="str">
        <f t="shared" si="50"/>
        <v>Medium</v>
      </c>
      <c r="O653" t="str">
        <f t="shared" si="51"/>
        <v>Average</v>
      </c>
      <c r="P653" t="str">
        <f t="shared" si="52"/>
        <v>Average</v>
      </c>
      <c r="Q653" t="str">
        <f t="shared" si="53"/>
        <v>Bad</v>
      </c>
      <c r="R653" t="str">
        <f t="shared" si="54"/>
        <v>High</v>
      </c>
    </row>
    <row r="654" spans="1:18" x14ac:dyDescent="0.45">
      <c r="A654">
        <v>653</v>
      </c>
      <c r="B654">
        <v>20</v>
      </c>
      <c r="C654" t="s">
        <v>13</v>
      </c>
      <c r="D654" t="s">
        <v>14</v>
      </c>
      <c r="E654" t="s">
        <v>38</v>
      </c>
      <c r="F654">
        <v>4.3</v>
      </c>
      <c r="G654" t="s">
        <v>22</v>
      </c>
      <c r="H654" t="s">
        <v>23</v>
      </c>
      <c r="I654">
        <v>7.5</v>
      </c>
      <c r="J654">
        <v>8</v>
      </c>
      <c r="K654" t="s">
        <v>24</v>
      </c>
      <c r="L654">
        <v>2</v>
      </c>
      <c r="M654">
        <v>4</v>
      </c>
      <c r="N654" t="str">
        <f t="shared" si="50"/>
        <v>Medium</v>
      </c>
      <c r="O654" t="str">
        <f t="shared" si="51"/>
        <v>High</v>
      </c>
      <c r="P654" t="str">
        <f t="shared" si="52"/>
        <v>High</v>
      </c>
      <c r="Q654" t="str">
        <f t="shared" si="53"/>
        <v>Good</v>
      </c>
      <c r="R654" t="str">
        <f t="shared" si="54"/>
        <v>Medium</v>
      </c>
    </row>
    <row r="655" spans="1:18" x14ac:dyDescent="0.45">
      <c r="A655">
        <v>654</v>
      </c>
      <c r="B655">
        <v>23</v>
      </c>
      <c r="C655" t="s">
        <v>19</v>
      </c>
      <c r="D655" t="s">
        <v>20</v>
      </c>
      <c r="E655" t="s">
        <v>90</v>
      </c>
      <c r="F655">
        <v>6.2</v>
      </c>
      <c r="G655" t="s">
        <v>26</v>
      </c>
      <c r="H655" t="s">
        <v>17</v>
      </c>
      <c r="I655">
        <v>6.3</v>
      </c>
      <c r="J655">
        <v>5</v>
      </c>
      <c r="K655" t="s">
        <v>24</v>
      </c>
      <c r="L655">
        <v>4</v>
      </c>
      <c r="M655">
        <v>8</v>
      </c>
      <c r="N655" t="str">
        <f t="shared" si="50"/>
        <v>Medium</v>
      </c>
      <c r="O655" t="str">
        <f t="shared" si="51"/>
        <v>Average</v>
      </c>
      <c r="P655" t="str">
        <f t="shared" si="52"/>
        <v>Average</v>
      </c>
      <c r="Q655" t="str">
        <f t="shared" si="53"/>
        <v>Bad</v>
      </c>
      <c r="R655" t="str">
        <f t="shared" si="54"/>
        <v>High</v>
      </c>
    </row>
    <row r="656" spans="1:18" x14ac:dyDescent="0.45">
      <c r="A656">
        <v>655</v>
      </c>
      <c r="B656">
        <v>21</v>
      </c>
      <c r="C656" t="s">
        <v>13</v>
      </c>
      <c r="D656" t="s">
        <v>14</v>
      </c>
      <c r="E656" t="s">
        <v>89</v>
      </c>
      <c r="F656">
        <v>4.4000000000000004</v>
      </c>
      <c r="G656" t="s">
        <v>16</v>
      </c>
      <c r="H656" t="s">
        <v>23</v>
      </c>
      <c r="I656">
        <v>7.4</v>
      </c>
      <c r="J656">
        <v>7</v>
      </c>
      <c r="K656" t="s">
        <v>18</v>
      </c>
      <c r="L656">
        <v>2</v>
      </c>
      <c r="M656">
        <v>5</v>
      </c>
      <c r="N656" t="str">
        <f t="shared" si="50"/>
        <v>Medium</v>
      </c>
      <c r="O656" t="str">
        <f t="shared" si="51"/>
        <v>Average</v>
      </c>
      <c r="P656" t="str">
        <f t="shared" si="52"/>
        <v>High</v>
      </c>
      <c r="Q656" t="str">
        <f t="shared" si="53"/>
        <v>Bad</v>
      </c>
      <c r="R656" t="str">
        <f t="shared" si="54"/>
        <v>Medium</v>
      </c>
    </row>
    <row r="657" spans="1:18" x14ac:dyDescent="0.45">
      <c r="A657">
        <v>656</v>
      </c>
      <c r="B657">
        <v>24</v>
      </c>
      <c r="C657" t="s">
        <v>19</v>
      </c>
      <c r="D657" t="s">
        <v>20</v>
      </c>
      <c r="E657" t="s">
        <v>41</v>
      </c>
      <c r="F657">
        <v>6.5</v>
      </c>
      <c r="G657" t="s">
        <v>32</v>
      </c>
      <c r="H657" t="s">
        <v>17</v>
      </c>
      <c r="I657">
        <v>6.1</v>
      </c>
      <c r="J657">
        <v>5</v>
      </c>
      <c r="K657" t="s">
        <v>24</v>
      </c>
      <c r="L657">
        <v>4</v>
      </c>
      <c r="M657">
        <v>8</v>
      </c>
      <c r="N657" t="str">
        <f t="shared" si="50"/>
        <v>Medium</v>
      </c>
      <c r="O657" t="str">
        <f t="shared" si="51"/>
        <v>High</v>
      </c>
      <c r="P657" t="str">
        <f t="shared" si="52"/>
        <v>Average</v>
      </c>
      <c r="Q657" t="str">
        <f t="shared" si="53"/>
        <v>Bad</v>
      </c>
      <c r="R657" t="str">
        <f t="shared" si="54"/>
        <v>High</v>
      </c>
    </row>
    <row r="658" spans="1:18" x14ac:dyDescent="0.45">
      <c r="A658">
        <v>657</v>
      </c>
      <c r="B658">
        <v>19</v>
      </c>
      <c r="C658" t="s">
        <v>13</v>
      </c>
      <c r="D658" t="s">
        <v>14</v>
      </c>
      <c r="E658" t="s">
        <v>48</v>
      </c>
      <c r="F658">
        <v>4.5999999999999996</v>
      </c>
      <c r="G658" t="s">
        <v>22</v>
      </c>
      <c r="H658" t="s">
        <v>23</v>
      </c>
      <c r="I658">
        <v>7.3</v>
      </c>
      <c r="J658">
        <v>7</v>
      </c>
      <c r="K658" t="s">
        <v>18</v>
      </c>
      <c r="L658">
        <v>2</v>
      </c>
      <c r="M658">
        <v>5</v>
      </c>
      <c r="N658" t="str">
        <f t="shared" si="50"/>
        <v>Medium</v>
      </c>
      <c r="O658" t="str">
        <f t="shared" si="51"/>
        <v>Average</v>
      </c>
      <c r="P658" t="str">
        <f t="shared" si="52"/>
        <v>High</v>
      </c>
      <c r="Q658" t="str">
        <f t="shared" si="53"/>
        <v>Bad</v>
      </c>
      <c r="R658" t="str">
        <f t="shared" si="54"/>
        <v>Medium</v>
      </c>
    </row>
    <row r="659" spans="1:18" x14ac:dyDescent="0.45">
      <c r="A659">
        <v>658</v>
      </c>
      <c r="B659">
        <v>22</v>
      </c>
      <c r="C659" t="s">
        <v>19</v>
      </c>
      <c r="D659" t="s">
        <v>20</v>
      </c>
      <c r="E659" t="s">
        <v>55</v>
      </c>
      <c r="F659">
        <v>5.8</v>
      </c>
      <c r="G659" t="s">
        <v>16</v>
      </c>
      <c r="H659" t="s">
        <v>17</v>
      </c>
      <c r="I659">
        <v>6.6</v>
      </c>
      <c r="J659">
        <v>6</v>
      </c>
      <c r="K659" t="s">
        <v>24</v>
      </c>
      <c r="L659">
        <v>3</v>
      </c>
      <c r="M659">
        <v>7</v>
      </c>
      <c r="N659" t="str">
        <f t="shared" si="50"/>
        <v>Medium</v>
      </c>
      <c r="O659" t="str">
        <f t="shared" si="51"/>
        <v>High</v>
      </c>
      <c r="P659" t="str">
        <f t="shared" si="52"/>
        <v>Average</v>
      </c>
      <c r="Q659" t="str">
        <f t="shared" si="53"/>
        <v>Bad</v>
      </c>
      <c r="R659" t="str">
        <f t="shared" si="54"/>
        <v>High</v>
      </c>
    </row>
    <row r="660" spans="1:18" x14ac:dyDescent="0.45">
      <c r="A660">
        <v>659</v>
      </c>
      <c r="B660">
        <v>20</v>
      </c>
      <c r="C660" t="s">
        <v>13</v>
      </c>
      <c r="D660" t="s">
        <v>14</v>
      </c>
      <c r="E660" t="s">
        <v>21</v>
      </c>
      <c r="F660">
        <v>7.1</v>
      </c>
      <c r="G660" t="s">
        <v>26</v>
      </c>
      <c r="H660" t="s">
        <v>17</v>
      </c>
      <c r="I660">
        <v>5.8</v>
      </c>
      <c r="J660">
        <v>4</v>
      </c>
      <c r="K660" t="s">
        <v>24</v>
      </c>
      <c r="L660">
        <v>5</v>
      </c>
      <c r="M660">
        <v>9</v>
      </c>
      <c r="N660" t="str">
        <f t="shared" si="50"/>
        <v>High</v>
      </c>
      <c r="O660" t="str">
        <f t="shared" si="51"/>
        <v>Average</v>
      </c>
      <c r="P660" t="str">
        <f t="shared" si="52"/>
        <v>Average</v>
      </c>
      <c r="Q660" t="str">
        <f t="shared" si="53"/>
        <v>Worst</v>
      </c>
      <c r="R660" t="str">
        <f t="shared" si="54"/>
        <v>High</v>
      </c>
    </row>
    <row r="661" spans="1:18" x14ac:dyDescent="0.45">
      <c r="A661">
        <v>660</v>
      </c>
      <c r="B661">
        <v>23</v>
      </c>
      <c r="C661" t="s">
        <v>19</v>
      </c>
      <c r="D661" t="s">
        <v>20</v>
      </c>
      <c r="E661" t="s">
        <v>51</v>
      </c>
      <c r="F661">
        <v>4.5</v>
      </c>
      <c r="G661" t="s">
        <v>32</v>
      </c>
      <c r="H661" t="s">
        <v>23</v>
      </c>
      <c r="I661">
        <v>7.3</v>
      </c>
      <c r="J661">
        <v>7</v>
      </c>
      <c r="K661" t="s">
        <v>18</v>
      </c>
      <c r="L661">
        <v>2</v>
      </c>
      <c r="M661">
        <v>5</v>
      </c>
      <c r="N661" t="str">
        <f t="shared" si="50"/>
        <v>Medium</v>
      </c>
      <c r="O661" t="str">
        <f t="shared" si="51"/>
        <v>High</v>
      </c>
      <c r="P661" t="str">
        <f t="shared" si="52"/>
        <v>High</v>
      </c>
      <c r="Q661" t="str">
        <f t="shared" si="53"/>
        <v>Bad</v>
      </c>
      <c r="R661" t="str">
        <f t="shared" si="54"/>
        <v>Medium</v>
      </c>
    </row>
    <row r="662" spans="1:18" x14ac:dyDescent="0.45">
      <c r="A662">
        <v>661</v>
      </c>
      <c r="B662">
        <v>21</v>
      </c>
      <c r="C662" t="s">
        <v>13</v>
      </c>
      <c r="D662" t="s">
        <v>14</v>
      </c>
      <c r="E662" t="s">
        <v>65</v>
      </c>
      <c r="F662">
        <v>6.7</v>
      </c>
      <c r="G662" t="s">
        <v>16</v>
      </c>
      <c r="H662" t="s">
        <v>17</v>
      </c>
      <c r="I662">
        <v>6</v>
      </c>
      <c r="J662">
        <v>5</v>
      </c>
      <c r="K662" t="s">
        <v>24</v>
      </c>
      <c r="L662">
        <v>4</v>
      </c>
      <c r="M662">
        <v>8</v>
      </c>
      <c r="N662" t="str">
        <f t="shared" si="50"/>
        <v>High</v>
      </c>
      <c r="O662" t="str">
        <f t="shared" si="51"/>
        <v>Average</v>
      </c>
      <c r="P662" t="str">
        <f t="shared" si="52"/>
        <v>Average</v>
      </c>
      <c r="Q662" t="str">
        <f t="shared" si="53"/>
        <v>Bad</v>
      </c>
      <c r="R662" t="str">
        <f t="shared" si="54"/>
        <v>High</v>
      </c>
    </row>
    <row r="663" spans="1:18" x14ac:dyDescent="0.45">
      <c r="A663">
        <v>662</v>
      </c>
      <c r="B663">
        <v>24</v>
      </c>
      <c r="C663" t="s">
        <v>19</v>
      </c>
      <c r="D663" t="s">
        <v>20</v>
      </c>
      <c r="E663" t="s">
        <v>25</v>
      </c>
      <c r="F663">
        <v>5.4</v>
      </c>
      <c r="G663" t="s">
        <v>22</v>
      </c>
      <c r="H663" t="s">
        <v>17</v>
      </c>
      <c r="I663">
        <v>6.8</v>
      </c>
      <c r="J663">
        <v>6</v>
      </c>
      <c r="K663" t="s">
        <v>18</v>
      </c>
      <c r="L663">
        <v>3</v>
      </c>
      <c r="M663">
        <v>7</v>
      </c>
      <c r="N663" t="str">
        <f t="shared" si="50"/>
        <v>Medium</v>
      </c>
      <c r="O663" t="str">
        <f t="shared" si="51"/>
        <v>Average</v>
      </c>
      <c r="P663" t="str">
        <f t="shared" si="52"/>
        <v>Average</v>
      </c>
      <c r="Q663" t="str">
        <f t="shared" si="53"/>
        <v>Bad</v>
      </c>
      <c r="R663" t="str">
        <f t="shared" si="54"/>
        <v>High</v>
      </c>
    </row>
    <row r="664" spans="1:18" x14ac:dyDescent="0.45">
      <c r="A664">
        <v>663</v>
      </c>
      <c r="B664">
        <v>19</v>
      </c>
      <c r="C664" t="s">
        <v>13</v>
      </c>
      <c r="D664" t="s">
        <v>14</v>
      </c>
      <c r="E664" t="s">
        <v>43</v>
      </c>
      <c r="F664">
        <v>6.4</v>
      </c>
      <c r="G664" t="s">
        <v>26</v>
      </c>
      <c r="H664" t="s">
        <v>17</v>
      </c>
      <c r="I664">
        <v>6.2</v>
      </c>
      <c r="J664">
        <v>5</v>
      </c>
      <c r="K664" t="s">
        <v>24</v>
      </c>
      <c r="L664">
        <v>4</v>
      </c>
      <c r="M664">
        <v>8</v>
      </c>
      <c r="N664" t="str">
        <f t="shared" si="50"/>
        <v>Medium</v>
      </c>
      <c r="O664" t="str">
        <f t="shared" si="51"/>
        <v>High</v>
      </c>
      <c r="P664" t="str">
        <f t="shared" si="52"/>
        <v>Average</v>
      </c>
      <c r="Q664" t="str">
        <f t="shared" si="53"/>
        <v>Bad</v>
      </c>
      <c r="R664" t="str">
        <f t="shared" si="54"/>
        <v>High</v>
      </c>
    </row>
    <row r="665" spans="1:18" x14ac:dyDescent="0.45">
      <c r="A665">
        <v>664</v>
      </c>
      <c r="B665">
        <v>22</v>
      </c>
      <c r="C665" t="s">
        <v>19</v>
      </c>
      <c r="D665" t="s">
        <v>20</v>
      </c>
      <c r="E665" t="s">
        <v>40</v>
      </c>
      <c r="F665">
        <v>4.7</v>
      </c>
      <c r="G665" t="s">
        <v>32</v>
      </c>
      <c r="H665" t="s">
        <v>23</v>
      </c>
      <c r="I665">
        <v>7.2</v>
      </c>
      <c r="J665">
        <v>7</v>
      </c>
      <c r="K665" t="s">
        <v>18</v>
      </c>
      <c r="L665">
        <v>2</v>
      </c>
      <c r="M665">
        <v>5</v>
      </c>
      <c r="N665" t="str">
        <f t="shared" si="50"/>
        <v>Medium</v>
      </c>
      <c r="O665" t="str">
        <f t="shared" si="51"/>
        <v>Average</v>
      </c>
      <c r="P665" t="str">
        <f t="shared" si="52"/>
        <v>High</v>
      </c>
      <c r="Q665" t="str">
        <f t="shared" si="53"/>
        <v>Bad</v>
      </c>
      <c r="R665" t="str">
        <f t="shared" si="54"/>
        <v>Medium</v>
      </c>
    </row>
    <row r="666" spans="1:18" x14ac:dyDescent="0.45">
      <c r="A666">
        <v>665</v>
      </c>
      <c r="B666">
        <v>20</v>
      </c>
      <c r="C666" t="s">
        <v>13</v>
      </c>
      <c r="D666" t="s">
        <v>14</v>
      </c>
      <c r="E666" t="s">
        <v>31</v>
      </c>
      <c r="F666">
        <v>5.6</v>
      </c>
      <c r="G666" t="s">
        <v>16</v>
      </c>
      <c r="H666" t="s">
        <v>17</v>
      </c>
      <c r="I666">
        <v>6.7</v>
      </c>
      <c r="J666">
        <v>6</v>
      </c>
      <c r="K666" t="s">
        <v>24</v>
      </c>
      <c r="L666">
        <v>3</v>
      </c>
      <c r="M666">
        <v>7</v>
      </c>
      <c r="N666" t="str">
        <f t="shared" si="50"/>
        <v>Medium</v>
      </c>
      <c r="O666" t="str">
        <f t="shared" si="51"/>
        <v>Average</v>
      </c>
      <c r="P666" t="str">
        <f t="shared" si="52"/>
        <v>Average</v>
      </c>
      <c r="Q666" t="str">
        <f t="shared" si="53"/>
        <v>Bad</v>
      </c>
      <c r="R666" t="str">
        <f t="shared" si="54"/>
        <v>High</v>
      </c>
    </row>
    <row r="667" spans="1:18" x14ac:dyDescent="0.45">
      <c r="A667">
        <v>666</v>
      </c>
      <c r="B667">
        <v>23</v>
      </c>
      <c r="C667" t="s">
        <v>19</v>
      </c>
      <c r="D667" t="s">
        <v>20</v>
      </c>
      <c r="E667" t="s">
        <v>29</v>
      </c>
      <c r="F667">
        <v>6.3</v>
      </c>
      <c r="G667" t="s">
        <v>22</v>
      </c>
      <c r="H667" t="s">
        <v>17</v>
      </c>
      <c r="I667">
        <v>6.2</v>
      </c>
      <c r="J667">
        <v>5</v>
      </c>
      <c r="K667" t="s">
        <v>24</v>
      </c>
      <c r="L667">
        <v>4</v>
      </c>
      <c r="M667">
        <v>8</v>
      </c>
      <c r="N667" t="str">
        <f t="shared" si="50"/>
        <v>Medium</v>
      </c>
      <c r="O667" t="str">
        <f t="shared" si="51"/>
        <v>Average</v>
      </c>
      <c r="P667" t="str">
        <f t="shared" si="52"/>
        <v>Average</v>
      </c>
      <c r="Q667" t="str">
        <f t="shared" si="53"/>
        <v>Bad</v>
      </c>
      <c r="R667" t="str">
        <f t="shared" si="54"/>
        <v>High</v>
      </c>
    </row>
    <row r="668" spans="1:18" x14ac:dyDescent="0.45">
      <c r="A668">
        <v>667</v>
      </c>
      <c r="B668">
        <v>21</v>
      </c>
      <c r="C668" t="s">
        <v>13</v>
      </c>
      <c r="D668" t="s">
        <v>14</v>
      </c>
      <c r="E668" t="s">
        <v>42</v>
      </c>
      <c r="F668">
        <v>4.8</v>
      </c>
      <c r="G668" t="s">
        <v>26</v>
      </c>
      <c r="H668" t="s">
        <v>23</v>
      </c>
      <c r="I668">
        <v>7.1</v>
      </c>
      <c r="J668">
        <v>7</v>
      </c>
      <c r="K668" t="s">
        <v>18</v>
      </c>
      <c r="L668">
        <v>2</v>
      </c>
      <c r="M668">
        <v>5</v>
      </c>
      <c r="N668" t="str">
        <f t="shared" si="50"/>
        <v>Medium</v>
      </c>
      <c r="O668" t="str">
        <f t="shared" si="51"/>
        <v>High</v>
      </c>
      <c r="P668" t="str">
        <f t="shared" si="52"/>
        <v>High</v>
      </c>
      <c r="Q668" t="str">
        <f t="shared" si="53"/>
        <v>Bad</v>
      </c>
      <c r="R668" t="str">
        <f t="shared" si="54"/>
        <v>Medium</v>
      </c>
    </row>
    <row r="669" spans="1:18" x14ac:dyDescent="0.45">
      <c r="A669">
        <v>668</v>
      </c>
      <c r="B669">
        <v>24</v>
      </c>
      <c r="C669" t="s">
        <v>19</v>
      </c>
      <c r="D669" t="s">
        <v>20</v>
      </c>
      <c r="E669" t="s">
        <v>44</v>
      </c>
      <c r="F669">
        <v>6.9</v>
      </c>
      <c r="G669" t="s">
        <v>16</v>
      </c>
      <c r="H669" t="s">
        <v>17</v>
      </c>
      <c r="I669">
        <v>5.9</v>
      </c>
      <c r="J669">
        <v>4</v>
      </c>
      <c r="K669" t="s">
        <v>24</v>
      </c>
      <c r="L669">
        <v>5</v>
      </c>
      <c r="M669">
        <v>9</v>
      </c>
      <c r="N669" t="str">
        <f t="shared" si="50"/>
        <v>High</v>
      </c>
      <c r="O669" t="str">
        <f t="shared" si="51"/>
        <v>Average</v>
      </c>
      <c r="P669" t="str">
        <f t="shared" si="52"/>
        <v>Average</v>
      </c>
      <c r="Q669" t="str">
        <f t="shared" si="53"/>
        <v>Worst</v>
      </c>
      <c r="R669" t="str">
        <f t="shared" si="54"/>
        <v>High</v>
      </c>
    </row>
    <row r="670" spans="1:18" x14ac:dyDescent="0.45">
      <c r="A670">
        <v>669</v>
      </c>
      <c r="B670">
        <v>19</v>
      </c>
      <c r="C670" t="s">
        <v>13</v>
      </c>
      <c r="D670" t="s">
        <v>14</v>
      </c>
      <c r="E670" t="s">
        <v>45</v>
      </c>
      <c r="F670">
        <v>5.7</v>
      </c>
      <c r="G670" t="s">
        <v>144</v>
      </c>
      <c r="H670" t="s">
        <v>17</v>
      </c>
      <c r="I670">
        <v>6.7</v>
      </c>
      <c r="J670">
        <v>6</v>
      </c>
      <c r="K670" t="s">
        <v>18</v>
      </c>
      <c r="L670">
        <v>3</v>
      </c>
      <c r="M670">
        <v>7</v>
      </c>
      <c r="N670" t="str">
        <f t="shared" si="50"/>
        <v>Medium</v>
      </c>
      <c r="O670" t="str">
        <f t="shared" si="51"/>
        <v>Average</v>
      </c>
      <c r="P670" t="str">
        <f t="shared" si="52"/>
        <v>Average</v>
      </c>
      <c r="Q670" t="str">
        <f t="shared" si="53"/>
        <v>Bad</v>
      </c>
      <c r="R670" t="str">
        <f t="shared" si="54"/>
        <v>High</v>
      </c>
    </row>
    <row r="671" spans="1:18" x14ac:dyDescent="0.45">
      <c r="A671">
        <v>670</v>
      </c>
      <c r="B671">
        <v>22</v>
      </c>
      <c r="C671" t="s">
        <v>19</v>
      </c>
      <c r="D671" t="s">
        <v>20</v>
      </c>
      <c r="E671" t="s">
        <v>38</v>
      </c>
      <c r="F671">
        <v>4.4000000000000004</v>
      </c>
      <c r="G671" t="s">
        <v>22</v>
      </c>
      <c r="H671" t="s">
        <v>23</v>
      </c>
      <c r="I671">
        <v>7.4</v>
      </c>
      <c r="J671">
        <v>8</v>
      </c>
      <c r="K671" t="s">
        <v>24</v>
      </c>
      <c r="L671">
        <v>2</v>
      </c>
      <c r="M671">
        <v>4</v>
      </c>
      <c r="N671" t="str">
        <f t="shared" si="50"/>
        <v>Medium</v>
      </c>
      <c r="O671" t="str">
        <f t="shared" si="51"/>
        <v>High</v>
      </c>
      <c r="P671" t="str">
        <f t="shared" si="52"/>
        <v>High</v>
      </c>
      <c r="Q671" t="str">
        <f t="shared" si="53"/>
        <v>Good</v>
      </c>
      <c r="R671" t="str">
        <f t="shared" si="54"/>
        <v>Medium</v>
      </c>
    </row>
    <row r="672" spans="1:18" x14ac:dyDescent="0.45">
      <c r="A672">
        <v>671</v>
      </c>
      <c r="B672">
        <v>20</v>
      </c>
      <c r="C672" t="s">
        <v>13</v>
      </c>
      <c r="D672" t="s">
        <v>14</v>
      </c>
      <c r="E672" t="s">
        <v>90</v>
      </c>
      <c r="F672">
        <v>6.1</v>
      </c>
      <c r="G672" t="s">
        <v>32</v>
      </c>
      <c r="H672" t="s">
        <v>17</v>
      </c>
      <c r="I672">
        <v>6.4</v>
      </c>
      <c r="J672">
        <v>5</v>
      </c>
      <c r="K672" t="s">
        <v>24</v>
      </c>
      <c r="L672">
        <v>4</v>
      </c>
      <c r="M672">
        <v>8</v>
      </c>
      <c r="N672" t="str">
        <f t="shared" si="50"/>
        <v>Medium</v>
      </c>
      <c r="O672" t="str">
        <f t="shared" si="51"/>
        <v>Average</v>
      </c>
      <c r="P672" t="str">
        <f t="shared" si="52"/>
        <v>Average</v>
      </c>
      <c r="Q672" t="str">
        <f t="shared" si="53"/>
        <v>Bad</v>
      </c>
      <c r="R672" t="str">
        <f t="shared" si="54"/>
        <v>High</v>
      </c>
    </row>
    <row r="673" spans="1:18" x14ac:dyDescent="0.45">
      <c r="A673">
        <v>672</v>
      </c>
      <c r="B673">
        <v>23</v>
      </c>
      <c r="C673" t="s">
        <v>19</v>
      </c>
      <c r="D673" t="s">
        <v>20</v>
      </c>
      <c r="E673" t="s">
        <v>89</v>
      </c>
      <c r="F673">
        <v>4.3</v>
      </c>
      <c r="G673" t="s">
        <v>16</v>
      </c>
      <c r="H673" t="s">
        <v>23</v>
      </c>
      <c r="I673">
        <v>7.5</v>
      </c>
      <c r="J673">
        <v>7</v>
      </c>
      <c r="K673" t="s">
        <v>18</v>
      </c>
      <c r="L673">
        <v>2</v>
      </c>
      <c r="M673">
        <v>5</v>
      </c>
      <c r="N673" t="str">
        <f t="shared" si="50"/>
        <v>Medium</v>
      </c>
      <c r="O673" t="str">
        <f t="shared" si="51"/>
        <v>Average</v>
      </c>
      <c r="P673" t="str">
        <f t="shared" si="52"/>
        <v>High</v>
      </c>
      <c r="Q673" t="str">
        <f t="shared" si="53"/>
        <v>Bad</v>
      </c>
      <c r="R673" t="str">
        <f t="shared" si="54"/>
        <v>Medium</v>
      </c>
    </row>
    <row r="674" spans="1:18" x14ac:dyDescent="0.45">
      <c r="A674">
        <v>673</v>
      </c>
      <c r="B674">
        <v>21</v>
      </c>
      <c r="C674" t="s">
        <v>13</v>
      </c>
      <c r="D674" t="s">
        <v>14</v>
      </c>
      <c r="E674" t="s">
        <v>41</v>
      </c>
      <c r="F674">
        <v>6.4</v>
      </c>
      <c r="G674" t="s">
        <v>26</v>
      </c>
      <c r="H674" t="s">
        <v>17</v>
      </c>
      <c r="I674">
        <v>6.2</v>
      </c>
      <c r="J674">
        <v>5</v>
      </c>
      <c r="K674" t="s">
        <v>24</v>
      </c>
      <c r="L674">
        <v>4</v>
      </c>
      <c r="M674">
        <v>8</v>
      </c>
      <c r="N674" t="str">
        <f t="shared" si="50"/>
        <v>Medium</v>
      </c>
      <c r="O674" t="str">
        <f t="shared" si="51"/>
        <v>High</v>
      </c>
      <c r="P674" t="str">
        <f t="shared" si="52"/>
        <v>Average</v>
      </c>
      <c r="Q674" t="str">
        <f t="shared" si="53"/>
        <v>Bad</v>
      </c>
      <c r="R674" t="str">
        <f t="shared" si="54"/>
        <v>High</v>
      </c>
    </row>
    <row r="675" spans="1:18" x14ac:dyDescent="0.45">
      <c r="A675">
        <v>674</v>
      </c>
      <c r="B675">
        <v>24</v>
      </c>
      <c r="C675" t="s">
        <v>19</v>
      </c>
      <c r="D675" t="s">
        <v>20</v>
      </c>
      <c r="E675" t="s">
        <v>48</v>
      </c>
      <c r="F675">
        <v>4.5</v>
      </c>
      <c r="G675" t="s">
        <v>22</v>
      </c>
      <c r="H675" t="s">
        <v>23</v>
      </c>
      <c r="I675">
        <v>7.3</v>
      </c>
      <c r="J675">
        <v>7</v>
      </c>
      <c r="K675" t="s">
        <v>18</v>
      </c>
      <c r="L675">
        <v>2</v>
      </c>
      <c r="M675">
        <v>5</v>
      </c>
      <c r="N675" t="str">
        <f t="shared" si="50"/>
        <v>Medium</v>
      </c>
      <c r="O675" t="str">
        <f t="shared" si="51"/>
        <v>Average</v>
      </c>
      <c r="P675" t="str">
        <f t="shared" si="52"/>
        <v>High</v>
      </c>
      <c r="Q675" t="str">
        <f t="shared" si="53"/>
        <v>Bad</v>
      </c>
      <c r="R675" t="str">
        <f t="shared" si="54"/>
        <v>Medium</v>
      </c>
    </row>
    <row r="676" spans="1:18" x14ac:dyDescent="0.45">
      <c r="A676">
        <v>675</v>
      </c>
      <c r="B676">
        <v>19</v>
      </c>
      <c r="C676" t="s">
        <v>13</v>
      </c>
      <c r="D676" t="s">
        <v>14</v>
      </c>
      <c r="E676" t="s">
        <v>55</v>
      </c>
      <c r="F676">
        <v>5.9</v>
      </c>
      <c r="G676" t="s">
        <v>16</v>
      </c>
      <c r="H676" t="s">
        <v>17</v>
      </c>
      <c r="I676">
        <v>6.5</v>
      </c>
      <c r="J676">
        <v>6</v>
      </c>
      <c r="K676" t="s">
        <v>24</v>
      </c>
      <c r="L676">
        <v>3</v>
      </c>
      <c r="M676">
        <v>7</v>
      </c>
      <c r="N676" t="str">
        <f t="shared" si="50"/>
        <v>Medium</v>
      </c>
      <c r="O676" t="str">
        <f t="shared" si="51"/>
        <v>High</v>
      </c>
      <c r="P676" t="str">
        <f t="shared" si="52"/>
        <v>Average</v>
      </c>
      <c r="Q676" t="str">
        <f t="shared" si="53"/>
        <v>Bad</v>
      </c>
      <c r="R676" t="str">
        <f t="shared" si="54"/>
        <v>High</v>
      </c>
    </row>
    <row r="677" spans="1:18" x14ac:dyDescent="0.45">
      <c r="A677">
        <v>676</v>
      </c>
      <c r="B677">
        <v>22</v>
      </c>
      <c r="C677" t="s">
        <v>19</v>
      </c>
      <c r="D677" t="s">
        <v>20</v>
      </c>
      <c r="E677" t="s">
        <v>21</v>
      </c>
      <c r="F677">
        <v>7.2</v>
      </c>
      <c r="G677" t="s">
        <v>32</v>
      </c>
      <c r="H677" t="s">
        <v>17</v>
      </c>
      <c r="I677">
        <v>5.7</v>
      </c>
      <c r="J677">
        <v>4</v>
      </c>
      <c r="K677" t="s">
        <v>24</v>
      </c>
      <c r="L677">
        <v>5</v>
      </c>
      <c r="M677">
        <v>9</v>
      </c>
      <c r="N677" t="str">
        <f t="shared" si="50"/>
        <v>High</v>
      </c>
      <c r="O677" t="str">
        <f t="shared" si="51"/>
        <v>Average</v>
      </c>
      <c r="P677" t="str">
        <f t="shared" si="52"/>
        <v>Average</v>
      </c>
      <c r="Q677" t="str">
        <f t="shared" si="53"/>
        <v>Worst</v>
      </c>
      <c r="R677" t="str">
        <f t="shared" si="54"/>
        <v>High</v>
      </c>
    </row>
    <row r="678" spans="1:18" x14ac:dyDescent="0.45">
      <c r="A678">
        <v>677</v>
      </c>
      <c r="B678">
        <v>20</v>
      </c>
      <c r="C678" t="s">
        <v>13</v>
      </c>
      <c r="D678" t="s">
        <v>14</v>
      </c>
      <c r="E678" t="s">
        <v>51</v>
      </c>
      <c r="F678">
        <v>4.5999999999999996</v>
      </c>
      <c r="G678" t="s">
        <v>26</v>
      </c>
      <c r="H678" t="s">
        <v>23</v>
      </c>
      <c r="I678">
        <v>7.2</v>
      </c>
      <c r="J678">
        <v>7</v>
      </c>
      <c r="K678" t="s">
        <v>18</v>
      </c>
      <c r="L678">
        <v>2</v>
      </c>
      <c r="M678">
        <v>5</v>
      </c>
      <c r="N678" t="str">
        <f t="shared" si="50"/>
        <v>Medium</v>
      </c>
      <c r="O678" t="str">
        <f t="shared" si="51"/>
        <v>High</v>
      </c>
      <c r="P678" t="str">
        <f t="shared" si="52"/>
        <v>High</v>
      </c>
      <c r="Q678" t="str">
        <f t="shared" si="53"/>
        <v>Bad</v>
      </c>
      <c r="R678" t="str">
        <f t="shared" si="54"/>
        <v>Medium</v>
      </c>
    </row>
    <row r="679" spans="1:18" x14ac:dyDescent="0.45">
      <c r="A679">
        <v>678</v>
      </c>
      <c r="B679">
        <v>23</v>
      </c>
      <c r="C679" t="s">
        <v>19</v>
      </c>
      <c r="D679" t="s">
        <v>20</v>
      </c>
      <c r="E679" t="s">
        <v>65</v>
      </c>
      <c r="F679">
        <v>6.8</v>
      </c>
      <c r="G679" t="s">
        <v>16</v>
      </c>
      <c r="H679" t="s">
        <v>17</v>
      </c>
      <c r="I679">
        <v>6</v>
      </c>
      <c r="J679">
        <v>5</v>
      </c>
      <c r="K679" t="s">
        <v>24</v>
      </c>
      <c r="L679">
        <v>4</v>
      </c>
      <c r="M679">
        <v>8</v>
      </c>
      <c r="N679" t="str">
        <f t="shared" si="50"/>
        <v>High</v>
      </c>
      <c r="O679" t="str">
        <f t="shared" si="51"/>
        <v>Average</v>
      </c>
      <c r="P679" t="str">
        <f t="shared" si="52"/>
        <v>Average</v>
      </c>
      <c r="Q679" t="str">
        <f t="shared" si="53"/>
        <v>Bad</v>
      </c>
      <c r="R679" t="str">
        <f t="shared" si="54"/>
        <v>High</v>
      </c>
    </row>
    <row r="680" spans="1:18" x14ac:dyDescent="0.45">
      <c r="A680">
        <v>679</v>
      </c>
      <c r="B680">
        <v>21</v>
      </c>
      <c r="C680" t="s">
        <v>13</v>
      </c>
      <c r="D680" t="s">
        <v>14</v>
      </c>
      <c r="E680" t="s">
        <v>25</v>
      </c>
      <c r="F680">
        <v>5.3</v>
      </c>
      <c r="G680" t="s">
        <v>22</v>
      </c>
      <c r="H680" t="s">
        <v>17</v>
      </c>
      <c r="I680">
        <v>6.8</v>
      </c>
      <c r="J680">
        <v>6</v>
      </c>
      <c r="K680" t="s">
        <v>18</v>
      </c>
      <c r="L680">
        <v>3</v>
      </c>
      <c r="M680">
        <v>7</v>
      </c>
      <c r="N680" t="str">
        <f t="shared" si="50"/>
        <v>Medium</v>
      </c>
      <c r="O680" t="str">
        <f t="shared" si="51"/>
        <v>Average</v>
      </c>
      <c r="P680" t="str">
        <f t="shared" si="52"/>
        <v>Average</v>
      </c>
      <c r="Q680" t="str">
        <f t="shared" si="53"/>
        <v>Bad</v>
      </c>
      <c r="R680" t="str">
        <f t="shared" si="54"/>
        <v>High</v>
      </c>
    </row>
    <row r="681" spans="1:18" x14ac:dyDescent="0.45">
      <c r="A681">
        <v>680</v>
      </c>
      <c r="B681">
        <v>24</v>
      </c>
      <c r="C681" t="s">
        <v>19</v>
      </c>
      <c r="D681" t="s">
        <v>20</v>
      </c>
      <c r="E681" t="s">
        <v>43</v>
      </c>
      <c r="F681">
        <v>6.2</v>
      </c>
      <c r="G681" t="s">
        <v>32</v>
      </c>
      <c r="H681" t="s">
        <v>17</v>
      </c>
      <c r="I681">
        <v>6.3</v>
      </c>
      <c r="J681">
        <v>5</v>
      </c>
      <c r="K681" t="s">
        <v>24</v>
      </c>
      <c r="L681">
        <v>4</v>
      </c>
      <c r="M681">
        <v>8</v>
      </c>
      <c r="N681" t="str">
        <f t="shared" si="50"/>
        <v>Medium</v>
      </c>
      <c r="O681" t="str">
        <f t="shared" si="51"/>
        <v>High</v>
      </c>
      <c r="P681" t="str">
        <f t="shared" si="52"/>
        <v>Average</v>
      </c>
      <c r="Q681" t="str">
        <f t="shared" si="53"/>
        <v>Bad</v>
      </c>
      <c r="R681" t="str">
        <f t="shared" si="54"/>
        <v>High</v>
      </c>
    </row>
    <row r="682" spans="1:18" x14ac:dyDescent="0.45">
      <c r="A682">
        <v>681</v>
      </c>
      <c r="B682">
        <v>19</v>
      </c>
      <c r="C682" t="s">
        <v>13</v>
      </c>
      <c r="D682" t="s">
        <v>14</v>
      </c>
      <c r="E682" t="s">
        <v>40</v>
      </c>
      <c r="F682">
        <v>4.7</v>
      </c>
      <c r="G682" t="s">
        <v>16</v>
      </c>
      <c r="H682" t="s">
        <v>23</v>
      </c>
      <c r="I682">
        <v>7.2</v>
      </c>
      <c r="J682">
        <v>7</v>
      </c>
      <c r="K682" t="s">
        <v>18</v>
      </c>
      <c r="L682">
        <v>2</v>
      </c>
      <c r="M682">
        <v>5</v>
      </c>
      <c r="N682" t="str">
        <f t="shared" si="50"/>
        <v>Medium</v>
      </c>
      <c r="O682" t="str">
        <f t="shared" si="51"/>
        <v>Average</v>
      </c>
      <c r="P682" t="str">
        <f t="shared" si="52"/>
        <v>High</v>
      </c>
      <c r="Q682" t="str">
        <f t="shared" si="53"/>
        <v>Bad</v>
      </c>
      <c r="R682" t="str">
        <f t="shared" si="54"/>
        <v>Medium</v>
      </c>
    </row>
    <row r="683" spans="1:18" x14ac:dyDescent="0.45">
      <c r="A683">
        <v>682</v>
      </c>
      <c r="B683">
        <v>22</v>
      </c>
      <c r="C683" t="s">
        <v>19</v>
      </c>
      <c r="D683" t="s">
        <v>20</v>
      </c>
      <c r="E683" t="s">
        <v>31</v>
      </c>
      <c r="F683">
        <v>5.8</v>
      </c>
      <c r="G683" t="s">
        <v>26</v>
      </c>
      <c r="H683" t="s">
        <v>17</v>
      </c>
      <c r="I683">
        <v>6.6</v>
      </c>
      <c r="J683">
        <v>6</v>
      </c>
      <c r="K683" t="s">
        <v>24</v>
      </c>
      <c r="L683">
        <v>3</v>
      </c>
      <c r="M683">
        <v>7</v>
      </c>
      <c r="N683" t="str">
        <f t="shared" si="50"/>
        <v>Medium</v>
      </c>
      <c r="O683" t="str">
        <f t="shared" si="51"/>
        <v>Average</v>
      </c>
      <c r="P683" t="str">
        <f t="shared" si="52"/>
        <v>Average</v>
      </c>
      <c r="Q683" t="str">
        <f t="shared" si="53"/>
        <v>Bad</v>
      </c>
      <c r="R683" t="str">
        <f t="shared" si="54"/>
        <v>High</v>
      </c>
    </row>
    <row r="684" spans="1:18" x14ac:dyDescent="0.45">
      <c r="A684">
        <v>683</v>
      </c>
      <c r="B684">
        <v>20</v>
      </c>
      <c r="C684" t="s">
        <v>13</v>
      </c>
      <c r="D684" t="s">
        <v>14</v>
      </c>
      <c r="E684" t="s">
        <v>29</v>
      </c>
      <c r="F684">
        <v>6.1</v>
      </c>
      <c r="G684" t="s">
        <v>22</v>
      </c>
      <c r="H684" t="s">
        <v>17</v>
      </c>
      <c r="I684">
        <v>6.4</v>
      </c>
      <c r="J684">
        <v>5</v>
      </c>
      <c r="K684" t="s">
        <v>24</v>
      </c>
      <c r="L684">
        <v>4</v>
      </c>
      <c r="M684">
        <v>8</v>
      </c>
      <c r="N684" t="str">
        <f t="shared" si="50"/>
        <v>Medium</v>
      </c>
      <c r="O684" t="str">
        <f t="shared" si="51"/>
        <v>Average</v>
      </c>
      <c r="P684" t="str">
        <f t="shared" si="52"/>
        <v>Average</v>
      </c>
      <c r="Q684" t="str">
        <f t="shared" si="53"/>
        <v>Bad</v>
      </c>
      <c r="R684" t="str">
        <f t="shared" si="54"/>
        <v>High</v>
      </c>
    </row>
    <row r="685" spans="1:18" x14ac:dyDescent="0.45">
      <c r="A685">
        <v>684</v>
      </c>
      <c r="B685">
        <v>23</v>
      </c>
      <c r="C685" t="s">
        <v>19</v>
      </c>
      <c r="D685" t="s">
        <v>20</v>
      </c>
      <c r="E685" t="s">
        <v>42</v>
      </c>
      <c r="F685">
        <v>4.8</v>
      </c>
      <c r="G685" t="s">
        <v>32</v>
      </c>
      <c r="H685" t="s">
        <v>23</v>
      </c>
      <c r="I685">
        <v>7.1</v>
      </c>
      <c r="J685">
        <v>7</v>
      </c>
      <c r="K685" t="s">
        <v>18</v>
      </c>
      <c r="L685">
        <v>2</v>
      </c>
      <c r="M685">
        <v>5</v>
      </c>
      <c r="N685" t="str">
        <f t="shared" si="50"/>
        <v>Medium</v>
      </c>
      <c r="O685" t="str">
        <f t="shared" si="51"/>
        <v>High</v>
      </c>
      <c r="P685" t="str">
        <f t="shared" si="52"/>
        <v>High</v>
      </c>
      <c r="Q685" t="str">
        <f t="shared" si="53"/>
        <v>Bad</v>
      </c>
      <c r="R685" t="str">
        <f t="shared" si="54"/>
        <v>Medium</v>
      </c>
    </row>
    <row r="686" spans="1:18" x14ac:dyDescent="0.45">
      <c r="A686">
        <v>685</v>
      </c>
      <c r="B686">
        <v>21</v>
      </c>
      <c r="C686" t="s">
        <v>13</v>
      </c>
      <c r="D686" t="s">
        <v>14</v>
      </c>
      <c r="E686" t="s">
        <v>44</v>
      </c>
      <c r="F686">
        <v>6.7</v>
      </c>
      <c r="G686" t="s">
        <v>16</v>
      </c>
      <c r="H686" t="s">
        <v>17</v>
      </c>
      <c r="I686">
        <v>6</v>
      </c>
      <c r="J686">
        <v>4</v>
      </c>
      <c r="K686" t="s">
        <v>24</v>
      </c>
      <c r="L686">
        <v>5</v>
      </c>
      <c r="M686">
        <v>9</v>
      </c>
      <c r="N686" t="str">
        <f t="shared" si="50"/>
        <v>High</v>
      </c>
      <c r="O686" t="str">
        <f t="shared" si="51"/>
        <v>Average</v>
      </c>
      <c r="P686" t="str">
        <f t="shared" si="52"/>
        <v>Average</v>
      </c>
      <c r="Q686" t="str">
        <f t="shared" si="53"/>
        <v>Worst</v>
      </c>
      <c r="R686" t="str">
        <f t="shared" si="54"/>
        <v>High</v>
      </c>
    </row>
    <row r="687" spans="1:18" x14ac:dyDescent="0.45">
      <c r="A687">
        <v>686</v>
      </c>
      <c r="B687">
        <v>24</v>
      </c>
      <c r="C687" t="s">
        <v>19</v>
      </c>
      <c r="D687" t="s">
        <v>20</v>
      </c>
      <c r="E687" t="s">
        <v>45</v>
      </c>
      <c r="F687">
        <v>5.5</v>
      </c>
      <c r="G687" t="s">
        <v>144</v>
      </c>
      <c r="H687" t="s">
        <v>17</v>
      </c>
      <c r="I687">
        <v>6.8</v>
      </c>
      <c r="J687">
        <v>6</v>
      </c>
      <c r="K687" t="s">
        <v>18</v>
      </c>
      <c r="L687">
        <v>3</v>
      </c>
      <c r="M687">
        <v>7</v>
      </c>
      <c r="N687" t="str">
        <f t="shared" si="50"/>
        <v>Medium</v>
      </c>
      <c r="O687" t="str">
        <f t="shared" si="51"/>
        <v>Average</v>
      </c>
      <c r="P687" t="str">
        <f t="shared" si="52"/>
        <v>Average</v>
      </c>
      <c r="Q687" t="str">
        <f t="shared" si="53"/>
        <v>Bad</v>
      </c>
      <c r="R687" t="str">
        <f t="shared" si="54"/>
        <v>High</v>
      </c>
    </row>
    <row r="688" spans="1:18" x14ac:dyDescent="0.45">
      <c r="A688">
        <v>687</v>
      </c>
      <c r="B688">
        <v>19</v>
      </c>
      <c r="C688" t="s">
        <v>13</v>
      </c>
      <c r="D688" t="s">
        <v>14</v>
      </c>
      <c r="E688" t="s">
        <v>38</v>
      </c>
      <c r="F688">
        <v>4.2</v>
      </c>
      <c r="G688" t="s">
        <v>22</v>
      </c>
      <c r="H688" t="s">
        <v>23</v>
      </c>
      <c r="I688">
        <v>7.5</v>
      </c>
      <c r="J688">
        <v>8</v>
      </c>
      <c r="K688" t="s">
        <v>24</v>
      </c>
      <c r="L688">
        <v>2</v>
      </c>
      <c r="M688">
        <v>4</v>
      </c>
      <c r="N688" t="str">
        <f t="shared" si="50"/>
        <v>Medium</v>
      </c>
      <c r="O688" t="str">
        <f t="shared" si="51"/>
        <v>High</v>
      </c>
      <c r="P688" t="str">
        <f t="shared" si="52"/>
        <v>High</v>
      </c>
      <c r="Q688" t="str">
        <f t="shared" si="53"/>
        <v>Good</v>
      </c>
      <c r="R688" t="str">
        <f t="shared" si="54"/>
        <v>Medium</v>
      </c>
    </row>
    <row r="689" spans="1:18" x14ac:dyDescent="0.45">
      <c r="A689">
        <v>688</v>
      </c>
      <c r="B689">
        <v>22</v>
      </c>
      <c r="C689" t="s">
        <v>19</v>
      </c>
      <c r="D689" t="s">
        <v>20</v>
      </c>
      <c r="E689" t="s">
        <v>90</v>
      </c>
      <c r="F689">
        <v>6.3</v>
      </c>
      <c r="G689" t="s">
        <v>26</v>
      </c>
      <c r="H689" t="s">
        <v>17</v>
      </c>
      <c r="I689">
        <v>6.2</v>
      </c>
      <c r="J689">
        <v>5</v>
      </c>
      <c r="K689" t="s">
        <v>24</v>
      </c>
      <c r="L689">
        <v>4</v>
      </c>
      <c r="M689">
        <v>8</v>
      </c>
      <c r="N689" t="str">
        <f t="shared" si="50"/>
        <v>Medium</v>
      </c>
      <c r="O689" t="str">
        <f t="shared" si="51"/>
        <v>Average</v>
      </c>
      <c r="P689" t="str">
        <f t="shared" si="52"/>
        <v>Average</v>
      </c>
      <c r="Q689" t="str">
        <f t="shared" si="53"/>
        <v>Bad</v>
      </c>
      <c r="R689" t="str">
        <f t="shared" si="54"/>
        <v>High</v>
      </c>
    </row>
    <row r="690" spans="1:18" x14ac:dyDescent="0.45">
      <c r="A690">
        <v>689</v>
      </c>
      <c r="B690">
        <v>20</v>
      </c>
      <c r="C690" t="s">
        <v>13</v>
      </c>
      <c r="D690" t="s">
        <v>14</v>
      </c>
      <c r="E690" t="s">
        <v>89</v>
      </c>
      <c r="F690">
        <v>4.4000000000000004</v>
      </c>
      <c r="G690" t="s">
        <v>16</v>
      </c>
      <c r="H690" t="s">
        <v>23</v>
      </c>
      <c r="I690">
        <v>7.4</v>
      </c>
      <c r="J690">
        <v>7</v>
      </c>
      <c r="K690" t="s">
        <v>18</v>
      </c>
      <c r="L690">
        <v>2</v>
      </c>
      <c r="M690">
        <v>5</v>
      </c>
      <c r="N690" t="str">
        <f t="shared" si="50"/>
        <v>Medium</v>
      </c>
      <c r="O690" t="str">
        <f t="shared" si="51"/>
        <v>Average</v>
      </c>
      <c r="P690" t="str">
        <f t="shared" si="52"/>
        <v>High</v>
      </c>
      <c r="Q690" t="str">
        <f t="shared" si="53"/>
        <v>Bad</v>
      </c>
      <c r="R690" t="str">
        <f t="shared" si="54"/>
        <v>Medium</v>
      </c>
    </row>
    <row r="691" spans="1:18" x14ac:dyDescent="0.45">
      <c r="A691">
        <v>690</v>
      </c>
      <c r="B691">
        <v>23</v>
      </c>
      <c r="C691" t="s">
        <v>19</v>
      </c>
      <c r="D691" t="s">
        <v>20</v>
      </c>
      <c r="E691" t="s">
        <v>41</v>
      </c>
      <c r="F691">
        <v>6.5</v>
      </c>
      <c r="G691" t="s">
        <v>32</v>
      </c>
      <c r="H691" t="s">
        <v>17</v>
      </c>
      <c r="I691">
        <v>6.1</v>
      </c>
      <c r="J691">
        <v>5</v>
      </c>
      <c r="K691" t="s">
        <v>24</v>
      </c>
      <c r="L691">
        <v>4</v>
      </c>
      <c r="M691">
        <v>8</v>
      </c>
      <c r="N691" t="str">
        <f t="shared" si="50"/>
        <v>Medium</v>
      </c>
      <c r="O691" t="str">
        <f t="shared" si="51"/>
        <v>High</v>
      </c>
      <c r="P691" t="str">
        <f t="shared" si="52"/>
        <v>Average</v>
      </c>
      <c r="Q691" t="str">
        <f t="shared" si="53"/>
        <v>Bad</v>
      </c>
      <c r="R691" t="str">
        <f t="shared" si="54"/>
        <v>High</v>
      </c>
    </row>
    <row r="692" spans="1:18" x14ac:dyDescent="0.45">
      <c r="A692">
        <v>691</v>
      </c>
      <c r="B692">
        <v>21</v>
      </c>
      <c r="C692" t="s">
        <v>13</v>
      </c>
      <c r="D692" t="s">
        <v>14</v>
      </c>
      <c r="E692" t="s">
        <v>48</v>
      </c>
      <c r="F692">
        <v>4.5999999999999996</v>
      </c>
      <c r="G692" t="s">
        <v>22</v>
      </c>
      <c r="H692" t="s">
        <v>23</v>
      </c>
      <c r="I692">
        <v>7.3</v>
      </c>
      <c r="J692">
        <v>7</v>
      </c>
      <c r="K692" t="s">
        <v>18</v>
      </c>
      <c r="L692">
        <v>2</v>
      </c>
      <c r="M692">
        <v>5</v>
      </c>
      <c r="N692" t="str">
        <f t="shared" si="50"/>
        <v>Medium</v>
      </c>
      <c r="O692" t="str">
        <f t="shared" si="51"/>
        <v>Average</v>
      </c>
      <c r="P692" t="str">
        <f t="shared" si="52"/>
        <v>High</v>
      </c>
      <c r="Q692" t="str">
        <f t="shared" si="53"/>
        <v>Bad</v>
      </c>
      <c r="R692" t="str">
        <f t="shared" si="54"/>
        <v>Medium</v>
      </c>
    </row>
    <row r="693" spans="1:18" x14ac:dyDescent="0.45">
      <c r="A693">
        <v>692</v>
      </c>
      <c r="B693">
        <v>24</v>
      </c>
      <c r="C693" t="s">
        <v>19</v>
      </c>
      <c r="D693" t="s">
        <v>20</v>
      </c>
      <c r="E693" t="s">
        <v>55</v>
      </c>
      <c r="F693">
        <v>5.9</v>
      </c>
      <c r="G693" t="s">
        <v>16</v>
      </c>
      <c r="H693" t="s">
        <v>17</v>
      </c>
      <c r="I693">
        <v>6.5</v>
      </c>
      <c r="J693">
        <v>6</v>
      </c>
      <c r="K693" t="s">
        <v>24</v>
      </c>
      <c r="L693">
        <v>3</v>
      </c>
      <c r="M693">
        <v>7</v>
      </c>
      <c r="N693" t="str">
        <f t="shared" si="50"/>
        <v>Medium</v>
      </c>
      <c r="O693" t="str">
        <f t="shared" si="51"/>
        <v>High</v>
      </c>
      <c r="P693" t="str">
        <f t="shared" si="52"/>
        <v>Average</v>
      </c>
      <c r="Q693" t="str">
        <f t="shared" si="53"/>
        <v>Bad</v>
      </c>
      <c r="R693" t="str">
        <f t="shared" si="54"/>
        <v>High</v>
      </c>
    </row>
    <row r="694" spans="1:18" x14ac:dyDescent="0.45">
      <c r="A694">
        <v>693</v>
      </c>
      <c r="B694">
        <v>19</v>
      </c>
      <c r="C694" t="s">
        <v>13</v>
      </c>
      <c r="D694" t="s">
        <v>14</v>
      </c>
      <c r="E694" t="s">
        <v>21</v>
      </c>
      <c r="F694">
        <v>7</v>
      </c>
      <c r="G694" t="s">
        <v>26</v>
      </c>
      <c r="H694" t="s">
        <v>17</v>
      </c>
      <c r="I694">
        <v>5.8</v>
      </c>
      <c r="J694">
        <v>4</v>
      </c>
      <c r="K694" t="s">
        <v>24</v>
      </c>
      <c r="L694">
        <v>5</v>
      </c>
      <c r="M694">
        <v>9</v>
      </c>
      <c r="N694" t="str">
        <f t="shared" si="50"/>
        <v>High</v>
      </c>
      <c r="O694" t="str">
        <f t="shared" si="51"/>
        <v>High</v>
      </c>
      <c r="P694" t="str">
        <f t="shared" si="52"/>
        <v>Average</v>
      </c>
      <c r="Q694" t="str">
        <f t="shared" si="53"/>
        <v>Worst</v>
      </c>
      <c r="R694" t="str">
        <f t="shared" si="54"/>
        <v>High</v>
      </c>
    </row>
    <row r="695" spans="1:18" x14ac:dyDescent="0.45">
      <c r="A695">
        <v>694</v>
      </c>
      <c r="B695">
        <v>22</v>
      </c>
      <c r="C695" t="s">
        <v>19</v>
      </c>
      <c r="D695" t="s">
        <v>20</v>
      </c>
      <c r="E695" t="s">
        <v>51</v>
      </c>
      <c r="F695">
        <v>4.5</v>
      </c>
      <c r="G695" t="s">
        <v>32</v>
      </c>
      <c r="H695" t="s">
        <v>23</v>
      </c>
      <c r="I695">
        <v>7.3</v>
      </c>
      <c r="J695">
        <v>7</v>
      </c>
      <c r="K695" t="s">
        <v>18</v>
      </c>
      <c r="L695">
        <v>2</v>
      </c>
      <c r="M695">
        <v>5</v>
      </c>
      <c r="N695" t="str">
        <f t="shared" si="50"/>
        <v>Medium</v>
      </c>
      <c r="O695" t="str">
        <f t="shared" si="51"/>
        <v>High</v>
      </c>
      <c r="P695" t="str">
        <f t="shared" si="52"/>
        <v>High</v>
      </c>
      <c r="Q695" t="str">
        <f t="shared" si="53"/>
        <v>Bad</v>
      </c>
      <c r="R695" t="str">
        <f t="shared" si="54"/>
        <v>Medium</v>
      </c>
    </row>
    <row r="696" spans="1:18" x14ac:dyDescent="0.45">
      <c r="A696">
        <v>695</v>
      </c>
      <c r="B696">
        <v>20</v>
      </c>
      <c r="C696" t="s">
        <v>13</v>
      </c>
      <c r="D696" t="s">
        <v>14</v>
      </c>
      <c r="E696" t="s">
        <v>65</v>
      </c>
      <c r="F696">
        <v>6.6</v>
      </c>
      <c r="G696" t="s">
        <v>16</v>
      </c>
      <c r="H696" t="s">
        <v>17</v>
      </c>
      <c r="I696">
        <v>6.1</v>
      </c>
      <c r="J696">
        <v>5</v>
      </c>
      <c r="K696" t="s">
        <v>24</v>
      </c>
      <c r="L696">
        <v>4</v>
      </c>
      <c r="M696">
        <v>8</v>
      </c>
      <c r="N696" t="str">
        <f t="shared" si="50"/>
        <v>High</v>
      </c>
      <c r="O696" t="str">
        <f t="shared" si="51"/>
        <v>High</v>
      </c>
      <c r="P696" t="str">
        <f t="shared" si="52"/>
        <v>Average</v>
      </c>
      <c r="Q696" t="str">
        <f t="shared" si="53"/>
        <v>Bad</v>
      </c>
      <c r="R696" t="str">
        <f t="shared" si="54"/>
        <v>High</v>
      </c>
    </row>
    <row r="697" spans="1:18" x14ac:dyDescent="0.45">
      <c r="A697">
        <v>696</v>
      </c>
      <c r="B697">
        <v>23</v>
      </c>
      <c r="C697" t="s">
        <v>19</v>
      </c>
      <c r="D697" t="s">
        <v>20</v>
      </c>
      <c r="E697" t="s">
        <v>25</v>
      </c>
      <c r="F697">
        <v>5.5</v>
      </c>
      <c r="G697" t="s">
        <v>22</v>
      </c>
      <c r="H697" t="s">
        <v>17</v>
      </c>
      <c r="I697">
        <v>6.7</v>
      </c>
      <c r="J697">
        <v>6</v>
      </c>
      <c r="K697" t="s">
        <v>18</v>
      </c>
      <c r="L697">
        <v>3</v>
      </c>
      <c r="M697">
        <v>7</v>
      </c>
      <c r="N697" t="str">
        <f t="shared" si="50"/>
        <v>Medium</v>
      </c>
      <c r="O697" t="str">
        <f t="shared" si="51"/>
        <v>High</v>
      </c>
      <c r="P697" t="str">
        <f t="shared" si="52"/>
        <v>Average</v>
      </c>
      <c r="Q697" t="str">
        <f t="shared" si="53"/>
        <v>Bad</v>
      </c>
      <c r="R697" t="str">
        <f t="shared" si="54"/>
        <v>High</v>
      </c>
    </row>
    <row r="698" spans="1:18" x14ac:dyDescent="0.45">
      <c r="A698">
        <v>697</v>
      </c>
      <c r="B698">
        <v>21</v>
      </c>
      <c r="C698" t="s">
        <v>13</v>
      </c>
      <c r="D698" t="s">
        <v>14</v>
      </c>
      <c r="E698" t="s">
        <v>43</v>
      </c>
      <c r="F698">
        <v>6.3</v>
      </c>
      <c r="G698" t="s">
        <v>26</v>
      </c>
      <c r="H698" t="s">
        <v>17</v>
      </c>
      <c r="I698">
        <v>6.2</v>
      </c>
      <c r="J698">
        <v>5</v>
      </c>
      <c r="K698" t="s">
        <v>24</v>
      </c>
      <c r="L698">
        <v>4</v>
      </c>
      <c r="M698">
        <v>8</v>
      </c>
      <c r="N698" t="str">
        <f t="shared" si="50"/>
        <v>Medium</v>
      </c>
      <c r="O698" t="str">
        <f t="shared" si="51"/>
        <v>High</v>
      </c>
      <c r="P698" t="str">
        <f t="shared" si="52"/>
        <v>Average</v>
      </c>
      <c r="Q698" t="str">
        <f t="shared" si="53"/>
        <v>Bad</v>
      </c>
      <c r="R698" t="str">
        <f t="shared" si="54"/>
        <v>High</v>
      </c>
    </row>
    <row r="699" spans="1:18" x14ac:dyDescent="0.45">
      <c r="A699">
        <v>698</v>
      </c>
      <c r="B699">
        <v>24</v>
      </c>
      <c r="C699" t="s">
        <v>19</v>
      </c>
      <c r="D699" t="s">
        <v>20</v>
      </c>
      <c r="E699" t="s">
        <v>40</v>
      </c>
      <c r="F699">
        <v>4.8</v>
      </c>
      <c r="G699" t="s">
        <v>32</v>
      </c>
      <c r="H699" t="s">
        <v>23</v>
      </c>
      <c r="I699">
        <v>7.1</v>
      </c>
      <c r="J699">
        <v>7</v>
      </c>
      <c r="K699" t="s">
        <v>18</v>
      </c>
      <c r="L699">
        <v>2</v>
      </c>
      <c r="M699">
        <v>5</v>
      </c>
      <c r="N699" t="str">
        <f t="shared" si="50"/>
        <v>Medium</v>
      </c>
      <c r="O699" t="str">
        <f t="shared" si="51"/>
        <v>High</v>
      </c>
      <c r="P699" t="str">
        <f t="shared" si="52"/>
        <v>High</v>
      </c>
      <c r="Q699" t="str">
        <f t="shared" si="53"/>
        <v>Bad</v>
      </c>
      <c r="R699" t="str">
        <f t="shared" si="54"/>
        <v>Medium</v>
      </c>
    </row>
    <row r="700" spans="1:18" x14ac:dyDescent="0.45">
      <c r="A700">
        <v>699</v>
      </c>
      <c r="B700">
        <v>19</v>
      </c>
      <c r="C700" t="s">
        <v>13</v>
      </c>
      <c r="D700" t="s">
        <v>14</v>
      </c>
      <c r="E700" t="s">
        <v>31</v>
      </c>
      <c r="F700">
        <v>5.7</v>
      </c>
      <c r="G700" t="s">
        <v>16</v>
      </c>
      <c r="H700" t="s">
        <v>17</v>
      </c>
      <c r="I700">
        <v>6.6</v>
      </c>
      <c r="J700">
        <v>6</v>
      </c>
      <c r="K700" t="s">
        <v>24</v>
      </c>
      <c r="L700">
        <v>3</v>
      </c>
      <c r="M700">
        <v>7</v>
      </c>
      <c r="N700" t="str">
        <f t="shared" si="50"/>
        <v>Medium</v>
      </c>
      <c r="O700" t="str">
        <f t="shared" si="51"/>
        <v>High</v>
      </c>
      <c r="P700" t="str">
        <f t="shared" si="52"/>
        <v>Average</v>
      </c>
      <c r="Q700" t="str">
        <f t="shared" si="53"/>
        <v>Bad</v>
      </c>
      <c r="R700" t="str">
        <f t="shared" si="54"/>
        <v>High</v>
      </c>
    </row>
    <row r="701" spans="1:18" x14ac:dyDescent="0.45">
      <c r="A701">
        <v>700</v>
      </c>
      <c r="B701">
        <v>22</v>
      </c>
      <c r="C701" t="s">
        <v>19</v>
      </c>
      <c r="D701" t="s">
        <v>20</v>
      </c>
      <c r="E701" t="s">
        <v>29</v>
      </c>
      <c r="F701">
        <v>6.2</v>
      </c>
      <c r="G701" t="s">
        <v>22</v>
      </c>
      <c r="H701" t="s">
        <v>17</v>
      </c>
      <c r="I701">
        <v>6.3</v>
      </c>
      <c r="J701">
        <v>5</v>
      </c>
      <c r="K701" t="s">
        <v>24</v>
      </c>
      <c r="L701">
        <v>4</v>
      </c>
      <c r="M701">
        <v>8</v>
      </c>
      <c r="N701" t="str">
        <f t="shared" si="50"/>
        <v>Medium</v>
      </c>
      <c r="O701" t="str">
        <f t="shared" si="51"/>
        <v>High</v>
      </c>
      <c r="P701" t="str">
        <f t="shared" si="52"/>
        <v>Average</v>
      </c>
      <c r="Q701" t="str">
        <f t="shared" si="53"/>
        <v>Bad</v>
      </c>
      <c r="R701" t="str">
        <f t="shared" si="54"/>
        <v>High</v>
      </c>
    </row>
    <row r="702" spans="1:18" x14ac:dyDescent="0.45">
      <c r="A702">
        <v>701</v>
      </c>
      <c r="B702">
        <v>20</v>
      </c>
      <c r="C702" t="s">
        <v>13</v>
      </c>
      <c r="D702" t="s">
        <v>14</v>
      </c>
      <c r="E702" t="s">
        <v>42</v>
      </c>
      <c r="F702">
        <v>4.7</v>
      </c>
      <c r="G702" t="s">
        <v>26</v>
      </c>
      <c r="H702" t="s">
        <v>23</v>
      </c>
      <c r="I702">
        <v>7.2</v>
      </c>
      <c r="J702">
        <v>7</v>
      </c>
      <c r="K702" t="s">
        <v>18</v>
      </c>
      <c r="L702">
        <v>2</v>
      </c>
      <c r="M702">
        <v>5</v>
      </c>
      <c r="N702" t="str">
        <f t="shared" si="50"/>
        <v>Medium</v>
      </c>
      <c r="O702" t="str">
        <f t="shared" si="51"/>
        <v>High</v>
      </c>
      <c r="P702" t="str">
        <f t="shared" si="52"/>
        <v>High</v>
      </c>
      <c r="Q702" t="str">
        <f t="shared" si="53"/>
        <v>Bad</v>
      </c>
      <c r="R702" t="str">
        <f t="shared" si="54"/>
        <v>Medium</v>
      </c>
    </row>
    <row r="703" spans="1:18" x14ac:dyDescent="0.45">
      <c r="A703">
        <v>702</v>
      </c>
      <c r="B703">
        <v>23</v>
      </c>
      <c r="C703" t="s">
        <v>19</v>
      </c>
      <c r="D703" t="s">
        <v>20</v>
      </c>
      <c r="E703" t="s">
        <v>44</v>
      </c>
      <c r="F703">
        <v>6.8</v>
      </c>
      <c r="G703" t="s">
        <v>16</v>
      </c>
      <c r="H703" t="s">
        <v>17</v>
      </c>
      <c r="I703">
        <v>5.9</v>
      </c>
      <c r="J703">
        <v>4</v>
      </c>
      <c r="K703" t="s">
        <v>24</v>
      </c>
      <c r="L703">
        <v>5</v>
      </c>
      <c r="M703">
        <v>9</v>
      </c>
      <c r="N703" t="str">
        <f t="shared" si="50"/>
        <v>High</v>
      </c>
      <c r="O703" t="str">
        <f t="shared" si="51"/>
        <v>High</v>
      </c>
      <c r="P703" t="str">
        <f t="shared" si="52"/>
        <v>Average</v>
      </c>
      <c r="Q703" t="str">
        <f t="shared" si="53"/>
        <v>Worst</v>
      </c>
      <c r="R703" t="str">
        <f t="shared" si="54"/>
        <v>High</v>
      </c>
    </row>
    <row r="704" spans="1:18" x14ac:dyDescent="0.45">
      <c r="A704">
        <v>703</v>
      </c>
      <c r="B704">
        <v>21</v>
      </c>
      <c r="C704" t="s">
        <v>13</v>
      </c>
      <c r="D704" t="s">
        <v>14</v>
      </c>
      <c r="E704" t="s">
        <v>45</v>
      </c>
      <c r="F704">
        <v>5.6</v>
      </c>
      <c r="G704" t="s">
        <v>144</v>
      </c>
      <c r="H704" t="s">
        <v>17</v>
      </c>
      <c r="I704">
        <v>6.7</v>
      </c>
      <c r="J704">
        <v>6</v>
      </c>
      <c r="K704" t="s">
        <v>18</v>
      </c>
      <c r="L704">
        <v>3</v>
      </c>
      <c r="M704">
        <v>7</v>
      </c>
      <c r="N704" t="str">
        <f t="shared" si="50"/>
        <v>Medium</v>
      </c>
      <c r="O704" t="str">
        <f t="shared" si="51"/>
        <v>High</v>
      </c>
      <c r="P704" t="str">
        <f t="shared" si="52"/>
        <v>Average</v>
      </c>
      <c r="Q704" t="str">
        <f t="shared" si="53"/>
        <v>Bad</v>
      </c>
      <c r="R704" t="str">
        <f t="shared" si="54"/>
        <v>High</v>
      </c>
    </row>
    <row r="705" spans="1:18" x14ac:dyDescent="0.45">
      <c r="A705">
        <v>704</v>
      </c>
      <c r="B705">
        <v>24</v>
      </c>
      <c r="C705" t="s">
        <v>19</v>
      </c>
      <c r="D705" t="s">
        <v>20</v>
      </c>
      <c r="E705" t="s">
        <v>38</v>
      </c>
      <c r="F705">
        <v>4.3</v>
      </c>
      <c r="G705" t="s">
        <v>22</v>
      </c>
      <c r="H705" t="s">
        <v>23</v>
      </c>
      <c r="I705">
        <v>7.5</v>
      </c>
      <c r="J705">
        <v>8</v>
      </c>
      <c r="K705" t="s">
        <v>24</v>
      </c>
      <c r="L705">
        <v>2</v>
      </c>
      <c r="M705">
        <v>4</v>
      </c>
      <c r="N705" t="str">
        <f t="shared" si="50"/>
        <v>Medium</v>
      </c>
      <c r="O705" t="str">
        <f t="shared" si="51"/>
        <v>High</v>
      </c>
      <c r="P705" t="str">
        <f t="shared" si="52"/>
        <v>High</v>
      </c>
      <c r="Q705" t="str">
        <f t="shared" si="53"/>
        <v>Good</v>
      </c>
      <c r="R705" t="str">
        <f t="shared" si="54"/>
        <v>Medium</v>
      </c>
    </row>
    <row r="706" spans="1:18" x14ac:dyDescent="0.45">
      <c r="A706">
        <v>705</v>
      </c>
      <c r="B706">
        <v>19</v>
      </c>
      <c r="C706" t="s">
        <v>13</v>
      </c>
      <c r="D706" t="s">
        <v>14</v>
      </c>
      <c r="E706" t="s">
        <v>90</v>
      </c>
      <c r="F706">
        <v>6.2</v>
      </c>
      <c r="G706" t="s">
        <v>32</v>
      </c>
      <c r="H706" t="s">
        <v>17</v>
      </c>
      <c r="I706">
        <v>6.3</v>
      </c>
      <c r="J706">
        <v>5</v>
      </c>
      <c r="K706" t="s">
        <v>24</v>
      </c>
      <c r="L706">
        <v>4</v>
      </c>
      <c r="M706">
        <v>8</v>
      </c>
      <c r="N706" t="str">
        <f t="shared" si="50"/>
        <v>Medium</v>
      </c>
      <c r="O706" t="str">
        <f t="shared" si="51"/>
        <v>High</v>
      </c>
      <c r="P706" t="str">
        <f t="shared" si="52"/>
        <v>Average</v>
      </c>
      <c r="Q706" t="str">
        <f t="shared" si="53"/>
        <v>Bad</v>
      </c>
      <c r="R706" t="str">
        <f t="shared" si="54"/>
        <v>High</v>
      </c>
    </row>
  </sheetData>
  <autoFilter ref="A1:R706" xr:uid="{591309A7-1D64-4149-A68B-C346AD58C3A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CB8AE8-6CD0-4A6F-905D-37C8F42CAB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Demographic &amp; Academic Profile</vt:lpstr>
      <vt:lpstr>D &amp; A Dashboard</vt:lpstr>
      <vt:lpstr>Social Media Usage Patterns</vt:lpstr>
      <vt:lpstr>Social Media Usage Dashboard</vt:lpstr>
      <vt:lpstr>Impact on Academic Performance</vt:lpstr>
      <vt:lpstr>Dashboard Impact on Performance</vt:lpstr>
      <vt:lpstr>Sleep &amp; Well-being</vt:lpstr>
      <vt:lpstr>Sleep Score Dashboard</vt:lpstr>
      <vt:lpstr>Mental Health Indicators</vt:lpstr>
      <vt:lpstr>Mental Health Dashboard</vt:lpstr>
      <vt:lpstr>Relationship &amp; Social Conflict</vt:lpstr>
      <vt:lpstr>Social Conflict Dashboard</vt:lpstr>
      <vt:lpstr>Students Social Media Addiction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Kumari</dc:creator>
  <cp:lastModifiedBy>Suman Kumari</cp:lastModifiedBy>
  <dcterms:created xsi:type="dcterms:W3CDTF">2025-07-01T15:19:48Z</dcterms:created>
  <dcterms:modified xsi:type="dcterms:W3CDTF">2025-07-19T04:47:25Z</dcterms:modified>
</cp:coreProperties>
</file>